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rechnung Vorgehen" sheetId="1" r:id="rId4"/>
    <sheet state="visible" name="Feedback an KhalidKalk" sheetId="2" r:id="rId5"/>
    <sheet state="visible" name="Test-Tabelle" sheetId="3" r:id="rId6"/>
    <sheet state="visible" name="Leistungen" sheetId="4" r:id="rId7"/>
    <sheet state="visible" name="Sonderleistungen" sheetId="5" r:id="rId8"/>
    <sheet state="visible" name="Faktoren" sheetId="6" r:id="rId9"/>
    <sheet state="visible" name="Onboarding" sheetId="7" r:id="rId10"/>
  </sheets>
  <definedNames>
    <definedName name="Tapezierarbeiten">Leistungen!$C$15:$N$18</definedName>
    <definedName name="Tapezieren">Leistungen!$C$11:$N$18</definedName>
    <definedName name="Türen">Leistungen!$C$25:$N$28</definedName>
  </definedNames>
  <calcPr/>
  <extLst>
    <ext uri="GoogleSheetsCustomDataVersion2">
      <go:sheetsCustomData xmlns:go="http://customooxmlschemas.google.com/" r:id="rId11" roundtripDataChecksum="E83EdkarKkljIYAQ9pgbUBraTbIlZybAulzXBx5g3mg="/>
    </ext>
  </extLst>
</workbook>
</file>

<file path=xl/sharedStrings.xml><?xml version="1.0" encoding="utf-8"?>
<sst xmlns="http://schemas.openxmlformats.org/spreadsheetml/2006/main" count="926" uniqueCount="556">
  <si>
    <t>e</t>
  </si>
  <si>
    <t>Abfolge</t>
  </si>
  <si>
    <t>Kathegorie</t>
  </si>
  <si>
    <t>Objekt</t>
  </si>
  <si>
    <t>Schritte</t>
  </si>
  <si>
    <t>Regeln</t>
  </si>
  <si>
    <t>Definition</t>
  </si>
  <si>
    <t>möglicher Code</t>
  </si>
  <si>
    <t>Formel in Worten und Sinn</t>
  </si>
  <si>
    <t>Auswirkung auf</t>
  </si>
  <si>
    <t>Regel-Typ</t>
  </si>
  <si>
    <t>Quelle</t>
  </si>
  <si>
    <t>UX-Beschreibung</t>
  </si>
  <si>
    <t>Mengen-Grundlage</t>
  </si>
  <si>
    <t>Objektangabe Kunde</t>
  </si>
  <si>
    <t>Formel</t>
  </si>
  <si>
    <t>Menge</t>
  </si>
  <si>
    <t>Faktor</t>
  </si>
  <si>
    <t>Leistung</t>
  </si>
  <si>
    <t>Sonderleistung</t>
  </si>
  <si>
    <t>U-leistung</t>
  </si>
  <si>
    <t>Alle Objekte</t>
  </si>
  <si>
    <r>
      <rPr>
        <rFont val="Arial"/>
        <color theme="1"/>
        <sz val="10.0"/>
      </rPr>
      <t xml:space="preserve">Je Objekt ausgewählte </t>
    </r>
    <r>
      <rPr>
        <rFont val="Arial"/>
        <b/>
        <color theme="1"/>
        <sz val="10.0"/>
      </rPr>
      <t xml:space="preserve">Leistung </t>
    </r>
    <r>
      <rPr>
        <rFont val="Arial"/>
        <color theme="1"/>
        <sz val="10.0"/>
      </rPr>
      <t xml:space="preserve">aufführen und prüfen ob </t>
    </r>
    <r>
      <rPr>
        <rFont val="Arial"/>
        <b/>
        <color theme="1"/>
        <sz val="10.0"/>
      </rPr>
      <t xml:space="preserve">Unterleistungen </t>
    </r>
    <r>
      <rPr>
        <rFont val="Arial"/>
        <color theme="1"/>
        <sz val="10.0"/>
      </rPr>
      <t>angehängt sind</t>
    </r>
  </si>
  <si>
    <t>Als erstes sollen die ausgewählten Leistungen inklusive der angehängten unterLeistungen aufgeführt werden</t>
  </si>
  <si>
    <t>Wohnzimmer</t>
  </si>
  <si>
    <t>Flur</t>
  </si>
  <si>
    <t>Mengen</t>
  </si>
  <si>
    <t>Raum</t>
  </si>
  <si>
    <r>
      <rPr>
        <rFont val="Arial"/>
        <color theme="1"/>
        <sz val="10.0"/>
      </rPr>
      <t xml:space="preserve">Mengenberechnung </t>
    </r>
    <r>
      <rPr>
        <rFont val="Arial"/>
        <b/>
        <color theme="1"/>
        <sz val="10.0"/>
      </rPr>
      <t xml:space="preserve">Decke </t>
    </r>
    <r>
      <rPr>
        <rFont val="Arial"/>
        <color theme="1"/>
        <sz val="10.0"/>
      </rPr>
      <t>Je Raum</t>
    </r>
  </si>
  <si>
    <t>Ist m² Grundfläche</t>
  </si>
  <si>
    <t>Preisrahmen, Zeitrahmen</t>
  </si>
  <si>
    <t>Angabe Verbraucher Shop</t>
  </si>
  <si>
    <t>Für die Berechnung der Decken Fläche wird die Angabe der Quadratmeter Grundfläche in den Räumen herangezogen und eins zu eins übernommen</t>
  </si>
  <si>
    <t>L</t>
  </si>
  <si>
    <t>Raum, Leisten</t>
  </si>
  <si>
    <r>
      <rPr>
        <rFont val="Arial"/>
        <color theme="1"/>
        <sz val="10.0"/>
      </rPr>
      <t xml:space="preserve">Mengenberechnung </t>
    </r>
    <r>
      <rPr>
        <rFont val="Arial"/>
        <b/>
        <color theme="1"/>
        <sz val="10.0"/>
      </rPr>
      <t xml:space="preserve">Raumumfang </t>
    </r>
    <r>
      <rPr>
        <rFont val="Arial"/>
        <color theme="1"/>
        <sz val="10.0"/>
      </rPr>
      <t>Je Raum</t>
    </r>
  </si>
  <si>
    <t>4xWurzel(m² Grundfläche)</t>
  </si>
  <si>
    <t>Admnin SE</t>
  </si>
  <si>
    <t>Um den Umfang eines Raumes zu berechnen, wird die Wurzel Quadratmeter Grundfläche mal vier genommen, woraus ich eine Zahl mit Einheit m ergibt</t>
  </si>
  <si>
    <t>Treppenhaus</t>
  </si>
  <si>
    <t>Mengen, Leistung</t>
  </si>
  <si>
    <r>
      <rPr>
        <rFont val="Arial"/>
        <color theme="1"/>
        <sz val="10.0"/>
      </rPr>
      <t xml:space="preserve">Prüfen auf </t>
    </r>
    <r>
      <rPr>
        <rFont val="Arial"/>
        <b/>
        <color theme="1"/>
        <sz val="10.0"/>
      </rPr>
      <t xml:space="preserve">Objekttyp </t>
    </r>
    <r>
      <rPr>
        <rFont val="Arial"/>
        <color theme="1"/>
        <sz val="10.0"/>
      </rPr>
      <t xml:space="preserve">mit </t>
    </r>
    <r>
      <rPr>
        <rFont val="Arial"/>
        <b/>
        <color theme="1"/>
        <sz val="10.0"/>
      </rPr>
      <t>Faktoren</t>
    </r>
  </si>
  <si>
    <t>Grundfläche m² x Faktor</t>
  </si>
  <si>
    <t>Admin SE           und Onboarding</t>
  </si>
  <si>
    <t>Bei jedem Objekttyp ist zu prüfen, ob auf diesen ein Faktor belegt ist zum Beispiel bei Räumen. Die Grundrissart wie ein Quadrat hat keinen Faktor beziehungsweise Faktor 1. ein L, ein Flur hat einen Faktor. auch ein Bad und ein Treppenhaus haben ein Faktor. Hierbei ist gleichzeitig zu prüfen, ob es sich um einen Faktor Dreht, der auf Mengen wie bei dem Grundrissfaktor also L oder Flur handelt oder Quadrat bezieht oder auf einen Leistungsfaktoren bezieht, was den Schwierigkeitsgrad darstellt. Im Bad ist es schwieriger zu arbeiten wegen der Installationen. Somit bezieht sich der Faktor hier nicht auf die Mengen, sondern nur auf die zu erbringenden Leistungen. Genauso verhält sich dies beim Treppenhaus, wo sich der Faktor ebenfalls auf die Leistung bezieht. Falls ein Objekttyp sowohl eine Multiplikator mit Mengenbezug als auch Leistungsbezug hinterlegt hat, werden beide in die Berechnung mit einbezogen. Erst der Mengenfaktor und dann der Leistungsfaktor</t>
  </si>
  <si>
    <t>Bad</t>
  </si>
  <si>
    <r>
      <rPr>
        <rFont val="Arial"/>
        <color theme="1"/>
        <sz val="10.0"/>
      </rPr>
      <t xml:space="preserve">Je Raum Mengenbrechnung der </t>
    </r>
    <r>
      <rPr>
        <rFont val="Arial"/>
        <b/>
        <color theme="1"/>
        <sz val="10.0"/>
      </rPr>
      <t>Wandflächen</t>
    </r>
  </si>
  <si>
    <t>Umfang x Raumhöhe (Abzug Bauteile wird nicht berücksichtigt)</t>
  </si>
  <si>
    <t>U x H</t>
  </si>
  <si>
    <t>Admin SE         und Angabe Verbraucher Shop</t>
  </si>
  <si>
    <t>Für die Berechnung der Wandflächen wird der errechnete und mit Faktoren multiplizierte Umfang herangezogen und mit der Höhe des Raumes multipliziert. Dabei werden aktuell keine Bauteile wie Fenster oder Türen von der Menge abgezogen.falls doch hohe Genauigkeit gefordert wird, könnten getrennt betrachtete Flächengrößen über 2,5 m² abgezogen wrden. Wenn dieser Vorgang bevorzugt wird, müssten allerdings sämtliche Flächen der Bauteile wie Fenster und Türen in die Position "abdecken", mit einbezogen werden</t>
  </si>
  <si>
    <t>Küche</t>
  </si>
  <si>
    <r>
      <rPr>
        <rFont val="Arial"/>
        <color theme="1"/>
        <sz val="10.0"/>
      </rPr>
      <t xml:space="preserve">Prüfen auf </t>
    </r>
    <r>
      <rPr>
        <rFont val="Arial"/>
        <b/>
        <color theme="1"/>
        <sz val="10.0"/>
      </rPr>
      <t xml:space="preserve">Sonderangaben </t>
    </r>
    <r>
      <rPr>
        <rFont val="Arial"/>
        <color theme="1"/>
        <sz val="10.0"/>
      </rPr>
      <t>zu Objekt</t>
    </r>
  </si>
  <si>
    <t>Mengeneinheit (z.B. 40m² Decken und Wandflächen) x kalkulierte Zeit der Leistung je Einheit x Faktor Erschwernisgrad auf Sonderangaben</t>
  </si>
  <si>
    <t xml:space="preserve">Mengeneinheiten x T Leistung x Faktor Erschwernisgrad </t>
  </si>
  <si>
    <t>Onboardingund Angabe Verbraucher Shop</t>
  </si>
  <si>
    <t>Hierbei handelt es sich um Angaben der Verbraucher auf der Shop Seite zu den Objekten. Beispielsweise Stuck an der Decke, Nikotin auf der Oberfläche, vergraute/verschmutzte Oberfläche, getönter Untergrund bei Auswahl &lt;Leistung "Überholunganstrich" etc. Aber auch bei Fenster die Auswahl Sprossenfenster. Der Faktor für den Erschwernisgrad wurde im Onboarding durch das Unternehmen festgelegt. Dieser wird mit der zugehörigen Leistung multipliziert</t>
  </si>
  <si>
    <t>Stuck</t>
  </si>
  <si>
    <r>
      <rPr>
        <rFont val="Arial"/>
        <b/>
        <color theme="1"/>
        <sz val="10.0"/>
      </rPr>
      <t xml:space="preserve">Baseline </t>
    </r>
    <r>
      <rPr>
        <rFont val="Arial"/>
        <color theme="1"/>
        <sz val="10.0"/>
      </rPr>
      <t>heranziehen</t>
    </r>
  </si>
  <si>
    <t>Baseline-Zeit</t>
  </si>
  <si>
    <t>Zeit/Einheit eines Standart-Kalk-Fall</t>
  </si>
  <si>
    <t>T für Standartfall/MengeStandartfall</t>
  </si>
  <si>
    <t>Global</t>
  </si>
  <si>
    <t>Onboarding Leistung</t>
  </si>
  <si>
    <t>Die baseline Zeit. Bezieht sich auf. Den. Für die. Jeweilige Leistung individuell herangezogenen Standardfall. Im Onboarding beziehungsweise in den vorhandenen, zur Verfügung gestellten Daten für die Betriebe, ist ein Standardfall hinterlegt. Zum Beispiel für das Streichen eines Zimmers mit 40 Quadratmetern braucht einen Mitarbeiter. 3 Stunden. Die Betriebe können jedoch. Die individuell ihre Standardfälle definieren. Zum Beispiel könnte für einen anderen Betrieb. Der ein Standardfall. 2 Zimmer mit in Summe. 100 Quadratmeter sein. Wofür ein Mitarbeiter 5 Stunden braucht für einen überholungsanstrich. Im Endeffekt ist es egal. Wichtig ist nur dass hier die Standardkalkulation festgelegt wird, für die ein Betrieb im Normalfall Kalkuliert. Aus der aus dem Standardfall angegebene Menge und der Zeit, ergibt sich die baseline Zeit. Und zwar. die angenommene Zeit im ersten Beispiel 3 Stunden durch die Menge der Einheiten, in diesem Fall 40 Quadratmeter, geteilt wird. Das Ergebnis ist die Base Line Zeit je Einheit, in diesem Fall Quadratmeter. also 3h/40m²</t>
  </si>
  <si>
    <r>
      <rPr>
        <rFont val="Arial"/>
        <b/>
        <color theme="1"/>
        <sz val="10.0"/>
      </rPr>
      <t xml:space="preserve">Effizienzgrad </t>
    </r>
    <r>
      <rPr>
        <rFont val="Arial"/>
        <color theme="1"/>
        <sz val="10.0"/>
      </rPr>
      <t>linear identifizieren</t>
    </r>
  </si>
  <si>
    <t>ab start → +step_percent je zusätzlichem Element bis cap_value (optional gedeckelt durch max_percent) maximale Einheiten am Tag = Grenzeffektivität</t>
  </si>
  <si>
    <t>1. Effektivitätsmenge + 2. Effektivitätsmenge +3. Effektivitätsmenge...) bis Summe der Effektivitätsmengen auf "MaxProdTagEinheiten" trifft                                                                           -&gt; T_Tag(8h)/MaxProduktivitätTagEinheiten(150m²)</t>
  </si>
  <si>
    <t xml:space="preserve">Im Onboarding der Leistungen wird definiert, ab wann eine Standardleistung mit einer Standardkalkulation effizienter wird. Zum Beispiel, ab dem zweiten Raum mit 15 Quadratmeter Grundfläche, also circa 50 Quadratmeter, Decken und Wandfläche Überholungsanstrich, ist eine erhöhte Effizienz zu erkennen. Man könnte auch andersherum sagen, ab 100 Quadratmetern zu streichender Fläche, ist eine erhöhte Effizienz gegenüber der Standardkalkulation zu erkennen (1. Effektivitätsmenge).                    Steigert sich im gleichen Maße der Vergleichswert als Menge (im Beispiel wieder um 50m²) von der ersten Effizienz, erhöht sich die Effizienz. Die Effizienzen steigern sich linear, bis die Grenze der Effektivität erreicht ist. Diese nach oben hin eingrenzende Grenzeffektivität wird ebenfalls aus dem Onboarding generiert. im Onboarding zur Grenzeffektivität heißt die Frage, wieviel Einheiten schafft ein Mitarbeiter oder Mitarbeiterin am Tag, sprich etwa in 8 Stunden. Um die Grenzeffektivität auf die Ebene der Baseline Zeit zu bringen, teilt man hier wiederum die Zeit durch die angegebenen Einheiten aus dem Onboarding und erhält Zeit je Einheit z.B. T/m² (z.B. ein Mitarbeiter schafft es am Tag 150m² Decken und Wände zu streichen. 8h/150m²=0,0533h/m²)                                                                                                               Es ist nun zu Prüfen, wo sich die errechnete Menge der ausgewählten Leistung befindet, um die Effizienzen einzuberechnen. Sobald die dafür benötigte Zeit + die vorweg benötigte Zeit für eine zuvor benötigte Leistung, den Arbeitstag überschreitet, endet der Tag und die Zeitwerte fließen in den nächsten Tag. </t>
  </si>
  <si>
    <t>Leistung, Mengen</t>
  </si>
  <si>
    <r>
      <rPr>
        <rFont val="Arial"/>
        <b/>
        <color theme="1"/>
        <sz val="10.0"/>
      </rPr>
      <t>Effizienz Kundenfreigabe</t>
    </r>
    <r>
      <rPr>
        <rFont val="Arial"/>
        <color theme="1"/>
        <sz val="10.0"/>
      </rPr>
      <t xml:space="preserve"> erteilt?</t>
    </r>
  </si>
  <si>
    <t>Bei Freigabe mehrerer Objekte durch den Verbraucher im Shop, können Effizienzen erreicht werden</t>
  </si>
  <si>
    <t>Objektfreigabe Kunde = Ja = Effizienzen greifen</t>
  </si>
  <si>
    <t>Angabe Verbraucher im Shop</t>
  </si>
  <si>
    <t>Damit die zuvor beschriebenen Effizienzen greifen können, muss der Verbraucher zuvor im Shop angegeben haben, dass gleichzeitig an mehreren Objekten mit der gleichen Leistung gearbeitet werden kann. Ansonsten können die Effizienzen nicht freigesetzt werden. Für die Steigerung der Effizienz, hilft es nichts Leistungen zum Mischen, um den Tag zu befüllen. Es ermöglicht den Gesamtzeitrahmen zu kürzen, was jedoch nicht mit einer Effizienzsteigerung einer Leistung gleichzusetzen ist.</t>
  </si>
  <si>
    <r>
      <rPr>
        <rFont val="Arial"/>
        <b/>
        <color theme="1"/>
        <sz val="10.0"/>
      </rPr>
      <t>Warte-/Trocknungszeite</t>
    </r>
    <r>
      <rPr>
        <rFont val="Arial"/>
        <color theme="1"/>
        <sz val="10.0"/>
      </rPr>
      <t xml:space="preserve">n prüfen und Prüfen auf mögliche </t>
    </r>
    <r>
      <rPr>
        <rFont val="Arial"/>
        <b/>
        <color theme="1"/>
        <sz val="10.0"/>
      </rPr>
      <t xml:space="preserve">Parallelarbeit </t>
    </r>
    <r>
      <rPr>
        <rFont val="Arial"/>
        <color theme="1"/>
        <sz val="10.0"/>
      </rPr>
      <t>verschiedener Leistungen innerhalb eines Raumes. Weiter um Prüfung, ob Parallelatbeit für die Positionen freigegeben ist</t>
    </r>
  </si>
  <si>
    <t>Raum1( LeistungX 6h + Trockenzeit 12h = 18h); Raum1 (LeistungY 1,5h), Leistung X und LeistungY haben gegenseitige Freigabe zur Parallelarbeit -&gt; Raum1(LeistungX 6h + LeistungY 1,5h = 7,5 h an diesem Tag)</t>
  </si>
  <si>
    <t>Zeitrahmen</t>
  </si>
  <si>
    <t>Onboarding</t>
  </si>
  <si>
    <t>Es muss geprüft werden ob für die ausgewählten Leistungen warte- beziehungsweise Trocknungszeiten vorgesehen sind und wie lange diese andauern falls das der Fall ist. Außerdem muss geprüft werden ob andere Leistungen während dieser Warte- beziehungsweise Trocknungszeiten ausgeführt werden können. So darf beispielsweise während der Trocknungsphase einer Lackierung auf einer Tür im gleichen Raum, nicht die Fenster geschliffen werden, da der Staub sich in den noch feuchten Türen festsetzen könnte und die Lackierung damit verunreinigt. Wenn also nach 6 Stunden Arbeit die genannte Tür noch feucht ist und bei den Kunden nur noch Fenster im gleichen Raum zu bearbeiten sind und somit erst einmal geschliffen werden müssen, ist die Arbeit für diesen Tag beendet und kann erst nach Trocknung der Türen am nächsten Tag fortgesetzt werden. Handelt es sich jedoch um eine Leistung die zu anderen Leistungen gegenseitig zur Parallelarbeit freigeschaltet ist, kann die andere Leistungen während der Trocknungsphase der ersten Leistung ausgeführt werden. Außerdem greifen Leistungen in einem anderen Raum nicht in die Trocknungszeiten des anderen Raumes ein. So bedarf zum Beispiel das Abdecken des Bodens keiner Wartezeit für die nächste Leistungen wie etwa das Streichen. Es darf auch in einem Raum ein Fenster geschliffen werden, während in einem anderen Raum noch ein Fenster nach der Lackierung am trocknen ist..</t>
  </si>
  <si>
    <r>
      <rPr>
        <rFont val="Arial"/>
        <color theme="1"/>
        <sz val="10.0"/>
      </rPr>
      <t xml:space="preserve">Sortierung je Raum nach </t>
    </r>
    <r>
      <rPr>
        <rFont val="Arial"/>
        <b/>
        <color theme="1"/>
        <sz val="10.0"/>
      </rPr>
      <t>Abfolge/Workflow</t>
    </r>
    <r>
      <rPr>
        <rFont val="Arial"/>
        <color theme="1"/>
        <sz val="10.0"/>
      </rPr>
      <t xml:space="preserve"> der Leistungen</t>
    </r>
  </si>
  <si>
    <t>Im Onboarding ist bei den Leistungen anzugeben welche, Leistungen und Unterleistungen aufeinander folgen sollen/können/dürfen. Die durch den Verbraucher im Shop ausgewählten Leistungen werden dann entsprechend im Raum nach Vorgabe des Onboardings sortiert. Diese Abfolge in Kombination mit Ausführungszeiten und Trocknungszeiten, bestimmt was und wieviel an welchen Tagen gearbeitet werden kann und wieviel Tage insgesamt in Anspruch genommen werden können beziehungsweise müssen</t>
  </si>
  <si>
    <r>
      <rPr>
        <rFont val="Arial"/>
        <b/>
        <color theme="1"/>
        <sz val="10.0"/>
      </rPr>
      <t xml:space="preserve">Mehrpersonal </t>
    </r>
    <r>
      <rPr>
        <rFont val="Arial"/>
        <color theme="1"/>
        <sz val="10.0"/>
      </rPr>
      <t>Prüfen ob sinnvoll weiteres Personal eingesetzt werden sollte, ohne Effizienzverlust hinnehmen zu müssen</t>
    </r>
  </si>
  <si>
    <t xml:space="preserve">Bei z.B. 1. Effektivitätsmenge + 2. Effektivitätsmenge +3. Effektivitätsmenge = 32h -&gt; 32h/2Mitarbeiter= 16h/Mitarbeiter (max Effizienz wieter gegeben) -&gt;  32h/Mitarbeiter= 11h/Mitarbeiter  (max Effizienz je Mitarbeiter wäre hier nur noch für 1Tag(11-8=3h) gegeben. 3 Mitarbeiter machen zur Planung auf diese leistung hin keinen Sinn, könnten jedoch in Kombination mit weiteren Leistungen wieder Sinn ergeben </t>
  </si>
  <si>
    <t>Im Onboarding ist anzugeben unter welchen Voraussetzungen ein zweiter, dritter oder mehrerer Mitarbeiter eingesetzt werden können. Faktoren dafür können Mengen in Form von Fläche Raum oder Stückzahl sein und die Möglichkeit parallel in verschiedenen Räumen zu arbeiten. Prinzipiell macht es nur Sinn weitere Personen einzusetzen, wenn gleichzeitig unterschiedliche Leistungen und oder unterschiedliche Objekte bearbeitet werden können. Auch sollte sich durch den Mehreinsatz vom Personal die Effizienz der Leistungen nicht reduzieren. Wenn sich also beispielsweise die Effizienzsteigerung beim Streichen eines überholungsanstrich von 2 Räumen mit insgesamt 100 Quadratmetern durch den Einsatz weiteren Personals pulverisiert, macht der Einsatz des weiteren Personals keinen Sinn. Auch macht der Einsatz weiteren Personals keinen Sinn, wenn bei kurzfristigen Arbeiten, eine Leistung die normalerweise knapp einen Tag brauchen würde, durch den Einsatz weiteren Personals nur noch 2 oder 3 Stunden braucht, da dann der Rest des Tages unproduktiv bleibt und somit erhöhte Kosten für den Handwerksunternehmer entstehen. Wenn jedoch die Effizienzgrenze nach oben mehrfach durchbrochen wurde, könnte der Einsatz weiteren Personals Sinn machen, so lange die maximale Effizienz trotz Arbeitsteilung genutzt wäre. Im Onboarding sollte angegeben sein, ab wie viel Stunden Arbeitsleistung für ein Projekt prinzipiell die Überlegung weiteren Personaleinsatzes erlaubt/geplant ist</t>
  </si>
  <si>
    <r>
      <rPr>
        <rFont val="Arial"/>
        <b/>
        <color theme="1"/>
        <sz val="10.0"/>
      </rPr>
      <t xml:space="preserve">Ausgabe </t>
    </r>
    <r>
      <rPr>
        <rFont val="Arial"/>
        <color theme="1"/>
        <sz val="10.0"/>
      </rPr>
      <t>der Informationen/Inhalte/Zahlen</t>
    </r>
  </si>
  <si>
    <t>Die Ausgabe sollte je Objekt aber auch zusätzlich kumuliert enthalten:
sämtliche Leistungen mit Herleitung von Flächenberechnungen sonderangaben, deren Faktoren und Auswirkungen. welche Effizienz warum gezogen wurde . Welche Warte- oder Trocknungszeit sich ausgewirkt haben und wie die Abfolge beziehungsweise der Workflow der Leistungen ist. außerdem welche Objekttypen und damit verbundene verändernden Faktoren angehängt sind. Außerdem sollte insgesamt die Abfolge der Tage aufgezeigt werden und wie viel Mitarbeiter Sinn machen und wie sich mehr Mitarbeiter auswirken.</t>
  </si>
  <si>
    <t>Stand</t>
  </si>
  <si>
    <t>15.11. 14:34</t>
  </si>
  <si>
    <t>Settings</t>
  </si>
  <si>
    <t>Feedback</t>
  </si>
  <si>
    <t>Hours per Day</t>
  </si>
  <si>
    <t>Beachte: Freitag wirdweniger gearbeitet</t>
  </si>
  <si>
    <t>Min_Efficiency_Factor</t>
  </si>
  <si>
    <t>Verstehe ich nicht</t>
  </si>
  <si>
    <t>Max_Employees_Without_Loss</t>
  </si>
  <si>
    <t>Ich denke das ist schwer global zu sagen. Eher von Projekt zu Projekt</t>
  </si>
  <si>
    <t>Sonderleistungen</t>
  </si>
  <si>
    <t>Leistungen</t>
  </si>
  <si>
    <t>es fehlen die automatisch angehängten Unterleistungen einer Shopleistung. Bei Überholungsanstrich: IMMER "Abdecken".  Dübellöcher, Stuck</t>
  </si>
  <si>
    <t xml:space="preserve"> Leistungen</t>
  </si>
  <si>
    <t>Es fehlt die Eingabemöglichekeit des Zustandes der Oberflächen oder weitere Spezifikationen, wie Verschmutzung  und der passende Faktor oder Sonderleistungen, die hier im Falle eines Faktor den Zeitaufwand verändern oder im Falle einer Sonderleistung eine Zusätzliche Leistung hinzufügt</t>
  </si>
  <si>
    <t>Spalte Richtfaktor Zeit</t>
  </si>
  <si>
    <t>Ich sehe bei den Sonderleistungen keinen Faktor, sondern eine echt zu kalkulierende Leistung. Du hast alle drei bereits in der Tabelle "Leistungskatalog " hinterlegt</t>
  </si>
  <si>
    <t>Mengenfaktor Grundriss</t>
  </si>
  <si>
    <t>Der Mengenfaktor darf sich nur auf den Umfang und auf die Wandflächen beziehen. Es geht hier nicht klar hervor, ob das so ist oder ob sich der Faktor auch auf Boden und Decke bezieht</t>
  </si>
  <si>
    <t>Spalte Sonderfaktor Zeit</t>
  </si>
  <si>
    <t>Wofür steht dieser Faktor? Wann sollte er angepasst werden?</t>
  </si>
  <si>
    <t>Spalte Zeit inkl Warte min</t>
  </si>
  <si>
    <t>das hat nur Auswirkung auf Ausführungsdauer und den Zeitrahmen in Form von Tagen., Jedpch nicht auf den Preis. Für den Preis muss (bei Nicht Freigabe von Effizienzen) die Spalte Zeit vor Effizienz min herangezogen werden oder (bei Freigabe Effizienzen) die Spalte Zeit nach Effizienz Min für die Kostenberechnung herangezogen werden</t>
  </si>
  <si>
    <t>Freigabe aller Räume?</t>
  </si>
  <si>
    <t>ich kann nicht erkennen, ob die Freigabe der Räume durch den Kunden und eine mögliche Parallelarbeit geprüft wird und ob dann die parallelarbeit an einem Tag in einem anderen Raum genutzt wird. Hier zum Beispiel: wenn am 1. Tag noch Zeit ist, kann im zweiten Raum die Arbeit fortgesetzt werden</t>
  </si>
  <si>
    <t>Bereich</t>
  </si>
  <si>
    <t>Höhenangabe Raum</t>
  </si>
  <si>
    <t>Menge X</t>
  </si>
  <si>
    <t>Menge Decke/Boden</t>
  </si>
  <si>
    <t>Menge Wände</t>
  </si>
  <si>
    <t>Faktor Typ</t>
  </si>
  <si>
    <t>Faktor Menge</t>
  </si>
  <si>
    <t>Parallelarbeit Freigabe Kunde</t>
  </si>
  <si>
    <t>Effizienzstatus</t>
  </si>
  <si>
    <t>Abdecken</t>
  </si>
  <si>
    <t>Abdecken Minuten</t>
  </si>
  <si>
    <t>Leistung 1</t>
  </si>
  <si>
    <t>€-L1</t>
  </si>
  <si>
    <t>Minuten-L1</t>
  </si>
  <si>
    <t>Wartezeit Minuten</t>
  </si>
  <si>
    <t>Leistung 3</t>
  </si>
  <si>
    <t>Leistung 4</t>
  </si>
  <si>
    <t>Leistung 5</t>
  </si>
  <si>
    <t>Leistung 6</t>
  </si>
  <si>
    <t>Leistung 7</t>
  </si>
  <si>
    <t>Leistung 8</t>
  </si>
  <si>
    <t>Leistung 9</t>
  </si>
  <si>
    <t>Leistung 10</t>
  </si>
  <si>
    <t>Spalte 22</t>
  </si>
  <si>
    <t>Spalte 23</t>
  </si>
  <si>
    <t>Column 15</t>
  </si>
  <si>
    <t>Wände, Decken</t>
  </si>
  <si>
    <t>Raum Normal</t>
  </si>
  <si>
    <t>Überholungsanstrich</t>
  </si>
  <si>
    <t>Wände</t>
  </si>
  <si>
    <t>Türen</t>
  </si>
  <si>
    <t>Titel</t>
  </si>
  <si>
    <t>Übergeordnete Leistung</t>
  </si>
  <si>
    <t>Leistungstyp</t>
  </si>
  <si>
    <t>Leistung / Variante</t>
  </si>
  <si>
    <t>In Leistung enthalten</t>
  </si>
  <si>
    <t>Einheit</t>
  </si>
  <si>
    <t>Grenzeffektivität max Einheitsmengen am Tag</t>
  </si>
  <si>
    <t>Menge Standardfall</t>
  </si>
  <si>
    <t>Referenzzeit Standardfall</t>
  </si>
  <si>
    <t>Standartwert je Einheit in Min</t>
  </si>
  <si>
    <t>Herleitung (min/Einheit &amp; Formel) Standardfall</t>
  </si>
  <si>
    <t>Material (Standard)</t>
  </si>
  <si>
    <t>Wartezeit</t>
  </si>
  <si>
    <t>Mindestzeit /Effizienzsteigerung / Deckel</t>
  </si>
  <si>
    <t>Global einmalig</t>
  </si>
  <si>
    <t>Unterleistung Backend</t>
  </si>
  <si>
    <t>Baustelleneinrichtung</t>
  </si>
  <si>
    <t>Anfahrt, Ausladen, Wege sichern</t>
  </si>
  <si>
    <t>h</t>
  </si>
  <si>
    <t>-</t>
  </si>
  <si>
    <t>Projektstart einmalig</t>
  </si>
  <si>
    <t>45 min</t>
  </si>
  <si>
    <t>Mindestzeit, sonst Standardmodus (pro Raum/Fläche/Tag)</t>
  </si>
  <si>
    <t>Global am Tag</t>
  </si>
  <si>
    <t>Mindestzeit am Tag</t>
  </si>
  <si>
    <t>Täglich</t>
  </si>
  <si>
    <t>1 h 30 min</t>
  </si>
  <si>
    <t>aus dem Onboarding</t>
  </si>
  <si>
    <t>Überholungsanstrich, Neuanstrich Decken und Wände, Mustertapete, Malervlies, Raufaser, Tapete entfernen</t>
  </si>
  <si>
    <t>Abdecken (Boden)</t>
  </si>
  <si>
    <t>Abkleben, Folie/Fleece, Ränder fixieren</t>
  </si>
  <si>
    <t>m²</t>
  </si>
  <si>
    <t>15 m²</t>
  </si>
  <si>
    <t>3,0 min/m² (45 min ÷ 15 m²) – Praxiswert</t>
  </si>
  <si>
    <t>0 min</t>
  </si>
  <si>
    <t>Mindestzeit 1h 30 min / Eff. ab 60 m² / Deckel 120 m²</t>
  </si>
  <si>
    <t>Dübellöcher schließen (&lt;10% der Fläche)</t>
  </si>
  <si>
    <t>Dübellöcher schließen, nachschleifen und vorbessern</t>
  </si>
  <si>
    <t>40 m²</t>
  </si>
  <si>
    <t>20 min</t>
  </si>
  <si>
    <t>0,5 min/m² ( 20 min / 40 m²)</t>
  </si>
  <si>
    <t>30 min</t>
  </si>
  <si>
    <t>Mindestzeit 1h 30 min / Eff. ab 100 m² / Deckel 250 m²</t>
  </si>
  <si>
    <t>Raufaser</t>
  </si>
  <si>
    <t>Teilspachtelung</t>
  </si>
  <si>
    <t>punktuell spachteln, schleifen, grundieren</t>
  </si>
  <si>
    <t>180 m²/Tag</t>
  </si>
  <si>
    <t>8 h 30 min</t>
  </si>
  <si>
    <t>12,75 min/m² (510 min ÷ 40 m²)</t>
  </si>
  <si>
    <t>+5 %</t>
  </si>
  <si>
    <t>0,5 Tage</t>
  </si>
  <si>
    <t>Eff. ab 1 Raum / Deckel 2 Räume</t>
  </si>
  <si>
    <t>Lackieren, Malervlies, Mustertapete, Neuanstrich Decken und Wände</t>
  </si>
  <si>
    <t>Vollflächenspachtelung ≤ 1 mm</t>
  </si>
  <si>
    <t>vollflächig spachteln, Trocknung, schleifen</t>
  </si>
  <si>
    <t>70 m²/Tag (Spachtel) + 175 m²/Tag (Schleifen)</t>
  </si>
  <si>
    <t>8,0 h</t>
  </si>
  <si>
    <t>Spachtel 4,6h + Schliff 1,8h ≈ 6,4h → 8,0h inkl. Rüstzeit</t>
  </si>
  <si>
    <t>+10 %</t>
  </si>
  <si>
    <t>1 Tag</t>
  </si>
  <si>
    <t>Eff. ab 40 m² / Deckel 70 m²</t>
  </si>
  <si>
    <t>Zusätzlicher Grundanstrich</t>
  </si>
  <si>
    <t>2 h 40 min</t>
  </si>
  <si>
    <t>4,0 min/m² (160 min ÷ 40 m²)</t>
  </si>
  <si>
    <t>1–1,5 h</t>
  </si>
  <si>
    <t>Eff. ab 50 m² / Deckel 160 m²</t>
  </si>
  <si>
    <t>Isoliergrundierung</t>
  </si>
  <si>
    <t>Bodenbeläge, Raufaser, Malervlies, Mustertapete, Neuanstrich Decken und Wände</t>
  </si>
  <si>
    <t>Grundierung (Standard)</t>
  </si>
  <si>
    <t>staubfrei, Grund auftragen</t>
  </si>
  <si>
    <t>180–200 m²/Tag</t>
  </si>
  <si>
    <t>2 h 20 min</t>
  </si>
  <si>
    <t>3,5 min/m² (140 min ÷ 40 m²)</t>
  </si>
  <si>
    <t>Eff. ab 45 m² / Deckel 150 m²</t>
  </si>
  <si>
    <t>Tapete entfernen</t>
  </si>
  <si>
    <t>Boden wasserfest schützen</t>
  </si>
  <si>
    <t>Folie + dicht verkleben</t>
  </si>
  <si>
    <t>~77 m²/Tag</t>
  </si>
  <si>
    <t>2,0 min/m² (70 % von 3,0 min/m²)</t>
  </si>
  <si>
    <t>+2 %</t>
  </si>
  <si>
    <t>Beläge entfernen/Abbruch</t>
  </si>
  <si>
    <t>Unterleistung Backend, Shop Leistung</t>
  </si>
  <si>
    <t>Tapeten entfernen (Wände + Decken)</t>
  </si>
  <si>
    <t>Einweichen, abziehen, entsorgen</t>
  </si>
  <si>
    <t>60 m²/Tag</t>
  </si>
  <si>
    <t>5 h 30 min</t>
  </si>
  <si>
    <t>8,25 min/m² (330 min ÷ 40 m²)</t>
  </si>
  <si>
    <t>0,50 €/m²</t>
  </si>
  <si>
    <t>15 min</t>
  </si>
  <si>
    <t>Mustertapete</t>
  </si>
  <si>
    <t>Farbliche Grundierung</t>
  </si>
  <si>
    <t>Grundton zur Tapete</t>
  </si>
  <si>
    <t>+20 %</t>
  </si>
  <si>
    <t>Raufaser, Malervlies, Mustertapete, Global einmalig</t>
  </si>
  <si>
    <t>Kleisterauftrag</t>
  </si>
  <si>
    <t>wand-/bahnenweise einkleistern</t>
  </si>
  <si>
    <t>~220 m²/Tag</t>
  </si>
  <si>
    <t>2h 30 min</t>
  </si>
  <si>
    <t>3,75 min/m² (½ Zeit von Tapezieren)</t>
  </si>
  <si>
    <t>keine</t>
  </si>
  <si>
    <t>Eff. ab 2 Räume / Deckel 6 Räume</t>
  </si>
  <si>
    <t>Tapezieren</t>
  </si>
  <si>
    <t>Shop Titel Leistung</t>
  </si>
  <si>
    <t xml:space="preserve">Tapezieren </t>
  </si>
  <si>
    <t>zuschneiden, kleben, andrücken</t>
  </si>
  <si>
    <t>100–120 m²/Tag</t>
  </si>
  <si>
    <t>5,0 h</t>
  </si>
  <si>
    <t>7,5 min/m² (300 min ÷ 40 m²)</t>
  </si>
  <si>
    <t>Eff. ab 60 m² / Deckel 120 m²</t>
  </si>
  <si>
    <t>Shop Leistung, Unterleistung Backend</t>
  </si>
  <si>
    <t>Malervlies</t>
  </si>
  <si>
    <t>Shop Leistung</t>
  </si>
  <si>
    <t>Muster ausrichten, kleben</t>
  </si>
  <si>
    <t>30 m²/Tag</t>
  </si>
  <si>
    <t>20 m²</t>
  </si>
  <si>
    <t>16,5 min/m² (330 min ÷ 20 m²)</t>
  </si>
  <si>
    <t>10 % + Rollenpreis</t>
  </si>
  <si>
    <t>keine Eff./Deckel</t>
  </si>
  <si>
    <t>Anstrich</t>
  </si>
  <si>
    <t>Anstrich Decken und Wände</t>
  </si>
  <si>
    <t xml:space="preserve">Überholungsanstrich - Streichen (Wände + Decken) </t>
  </si>
  <si>
    <t>Bauteile  (ohne Boden) abkleben, beschneiden, rollen</t>
  </si>
  <si>
    <t>3,0 h</t>
  </si>
  <si>
    <t>4,5 min/m² (180 min ÷ 40 m²)</t>
  </si>
  <si>
    <t>60–180 min</t>
  </si>
  <si>
    <t>Mindestzeit 1h 30 min / Eff. ab 60 m² / Deckel 150 m²</t>
  </si>
  <si>
    <t>Neuanstrich Decken und Wände</t>
  </si>
  <si>
    <t>Streichen auf frisch gespachtelt</t>
  </si>
  <si>
    <t>Voranstrich + Schlussanstrich getrennt</t>
  </si>
  <si>
    <t>–</t>
  </si>
  <si>
    <t>3,5 h + 2,5 h</t>
  </si>
  <si>
    <t>Vor 3,5h + Nach 2,5h mit Trocknung</t>
  </si>
  <si>
    <t>+15 %</t>
  </si>
  <si>
    <t>24 h</t>
  </si>
  <si>
    <t>Eff./Deckel wie oben</t>
  </si>
  <si>
    <t>Streichen auf Raufasertapete</t>
  </si>
  <si>
    <t>Raufaser 3,5h+2,25h</t>
  </si>
  <si>
    <t>Nachstruktur beeinflusst Zeit</t>
  </si>
  <si>
    <t>Streichen auf Malervliestapete</t>
  </si>
  <si>
    <t>41 m²</t>
  </si>
  <si>
    <t xml:space="preserve">Vlies 3,5h+2,5h </t>
  </si>
  <si>
    <t>Lackieren</t>
  </si>
  <si>
    <t>schleifen + grundieren, Trocknung, endlackieren</t>
  </si>
  <si>
    <t>Stk</t>
  </si>
  <si>
    <t>4–5 Stk/Tag</t>
  </si>
  <si>
    <t>1 Tür</t>
  </si>
  <si>
    <t>3,5 h</t>
  </si>
  <si>
    <t>1,75h + 1,75h über 2 Tage</t>
  </si>
  <si>
    <t>+22 %</t>
  </si>
  <si>
    <t>6 h</t>
  </si>
  <si>
    <t>Eff. ab 3 Stk / Deckel 10 Stk</t>
  </si>
  <si>
    <t>Türflügel lackieren (mit Zarge)</t>
  </si>
  <si>
    <t>2 Tür</t>
  </si>
  <si>
    <t>7 h</t>
  </si>
  <si>
    <t xml:space="preserve">Türflügel schleifen </t>
  </si>
  <si>
    <t>3 Tür</t>
  </si>
  <si>
    <t>8 h</t>
  </si>
  <si>
    <t>Türflügel grundieren</t>
  </si>
  <si>
    <t>4 Tür</t>
  </si>
  <si>
    <t>9 h</t>
  </si>
  <si>
    <t>Türflügel schlusslackieren</t>
  </si>
  <si>
    <t>5 Tür</t>
  </si>
  <si>
    <t>10 h</t>
  </si>
  <si>
    <t>Fensterflügel lackieren –  je Seite innen (mittel &lt; 1,5 m²)</t>
  </si>
  <si>
    <t>abkleben, schleifen, grundieren, lackieren</t>
  </si>
  <si>
    <t>Stk (m²)</t>
  </si>
  <si>
    <t>3–4 Stk/Tag</t>
  </si>
  <si>
    <t>2 Fensterflügel mittel (&lt;1,5m²)</t>
  </si>
  <si>
    <t>5h 45 min</t>
  </si>
  <si>
    <t>72 min/m² (180 min ÷ 2,5 m²)</t>
  </si>
  <si>
    <t xml:space="preserve">Fensterflügel innen schleifen </t>
  </si>
  <si>
    <t>10 Stk/Tag</t>
  </si>
  <si>
    <t>Fensterflügel innen grundieren</t>
  </si>
  <si>
    <t xml:space="preserve">2 h </t>
  </si>
  <si>
    <t>Fensterflügel innen schlusslackieren</t>
  </si>
  <si>
    <t>2 h 15 min</t>
  </si>
  <si>
    <t>Fensterflügel lackieren – je Seite außen  (mittel &lt; 1,5 m²)</t>
  </si>
  <si>
    <t>wie innen, stärker beansprucht</t>
  </si>
  <si>
    <t>84 min/m² (210 min ÷ 2,5 m²)</t>
  </si>
  <si>
    <t xml:space="preserve">Fensterflügel außen schleifen </t>
  </si>
  <si>
    <t>2 h 30 min</t>
  </si>
  <si>
    <t>Fensterflügel außen grundieren</t>
  </si>
  <si>
    <t>Fensterflügel außen schlusslackieren</t>
  </si>
  <si>
    <t>Aufräumen / Entsorgen</t>
  </si>
  <si>
    <t>Abfälle sammeln, entsorgen, reinigen</t>
  </si>
  <si>
    <t>204 m²/Tag</t>
  </si>
  <si>
    <t>44 m²</t>
  </si>
  <si>
    <t>1,5 h</t>
  </si>
  <si>
    <t>2,25 min/m² (90 min ÷ 40 m²)</t>
  </si>
  <si>
    <t>Auswirkung Bereich</t>
  </si>
  <si>
    <t>Benötigte Zusatzleistung</t>
  </si>
  <si>
    <t>Auswirkung Leistung</t>
  </si>
  <si>
    <t>Angabe Sonderleistung</t>
  </si>
  <si>
    <t>Eingabe</t>
  </si>
  <si>
    <t>UX</t>
  </si>
  <si>
    <t>Spalte 2</t>
  </si>
  <si>
    <t>Spalte 3</t>
  </si>
  <si>
    <t>Spalte 4</t>
  </si>
  <si>
    <t>Decken, Wände, Fenster innen, Türen</t>
  </si>
  <si>
    <t>Überholungsanstrich, Lackieren</t>
  </si>
  <si>
    <t>Raum, Fenster, Türen</t>
  </si>
  <si>
    <t>Verschmutzung/ Verfärbung</t>
  </si>
  <si>
    <t>Leistungsspezifikation</t>
  </si>
  <si>
    <t>Wenn der Kunde im Shop die Leistung Überholungsanstrich auswählt, sind mögliche Sonderleistungen hierzu abzufragen. Hier: sind die Oberflächen verschmutzt oder verfärbt</t>
  </si>
  <si>
    <t>Nikotinverfärbung</t>
  </si>
  <si>
    <t>Wenn der Kunde im Shop die Leistung Überholungsanstrich auswählt, sind mögliche Sonderleistungen hierzu abzufragen. Hier: Wurde in dem Raum geraucht</t>
  </si>
  <si>
    <t xml:space="preserve">Dübellöcher </t>
  </si>
  <si>
    <t>Wenn der Kunde im Shop die Leistung Überholungsanstrich auswählt, sind mögliche Sonderleistungen hierzu abzufragen. Hier: Sind Dübellöcher in den Wänden zu schließen</t>
  </si>
  <si>
    <t>Arbeiten werden auf Zeitnachweis tatsächlicher Aufwand ausgeführt</t>
  </si>
  <si>
    <t>Keine</t>
  </si>
  <si>
    <t>Umräumarbeiten werden benötigt</t>
  </si>
  <si>
    <t>Objektverwaltung</t>
  </si>
  <si>
    <t>hier entsteht nur ein textlicher Platzhalter mit dem Hinweis:  Arbeiten werden auf Zeitnachweis tatsächlicher Aufwand ausgeführt und separat abgerechnet</t>
  </si>
  <si>
    <t>Faktorname</t>
  </si>
  <si>
    <t>Umfang</t>
  </si>
  <si>
    <t>Admin SE</t>
  </si>
  <si>
    <t>Admin SE, Kunde Shop</t>
  </si>
  <si>
    <t>Decken, Wände</t>
  </si>
  <si>
    <t>Tapete entfernen, Raufaser, Malervlies, Mustertapete, Überholungsanstrich, Neuanstrich Decken und Wände</t>
  </si>
  <si>
    <t>2.0</t>
  </si>
  <si>
    <t>1.25</t>
  </si>
  <si>
    <t>Decken</t>
  </si>
  <si>
    <t>Raufaser, Malervlies, Überholungsanstrich, Neuanstrich Decken und Wände</t>
  </si>
  <si>
    <t>Fenster innen, Fenster außen</t>
  </si>
  <si>
    <t>Fenster</t>
  </si>
  <si>
    <t>Sprossenfenster</t>
  </si>
  <si>
    <t>Fensterflügel klein (&lt;1m²)</t>
  </si>
  <si>
    <t>Fensterflügel mittel (&lt;1,5m²)</t>
  </si>
  <si>
    <t>Fensterflügel groß (&lt;2,5m²)</t>
  </si>
  <si>
    <t>Kassettentüren</t>
  </si>
  <si>
    <t>Schritt / Modul</t>
  </si>
  <si>
    <t>Frage / Beschreibung</t>
  </si>
  <si>
    <t>Beispiel / Platzhalter</t>
  </si>
  <si>
    <t>Systemvariable / Logik</t>
  </si>
  <si>
    <t>Regel / Bedingung</t>
  </si>
  <si>
    <t>Schritt 1 â€“ Grundlagen</t>
  </si>
  <si>
    <t>Stundenlohn (netto)</t>
  </si>
  <si>
    <t>settings.labor_rate</t>
  </si>
  <si>
    <t>Wird für alle Kalkulationen verwendet.</t>
  </si>
  <si>
    <t>Wochen-/Tagesstunden</t>
  </si>
  <si>
    <t>4x 8,25 h/Tag +1x  7h/Freitag , 40 h/Woche</t>
  </si>
  <si>
    <t>settings.daily_hours, settings.weekly_hours</t>
  </si>
  <si>
    <t>Grundlage für Zeitumrechnung.</t>
  </si>
  <si>
    <t>Mindestzeit je Tag, wenn nur kleine Leistung ausgeführt wird</t>
  </si>
  <si>
    <t>1:30 h</t>
  </si>
  <si>
    <t>settings.min_time_alone</t>
  </si>
  <si>
    <t>Gilt nur, wenn keine andere Leistung sinnvoll parallel läuft und wenn kalkulierte Leistung unter Mindestzeit</t>
  </si>
  <si>
    <t>Baustelleneinrichtung &amp; -Räumung (einmalig je Projekt)</t>
  </si>
  <si>
    <t>Einrichtung 1 h, Räumung 1 h</t>
  </si>
  <si>
    <t>settings.site.einrichtung, settings.site.raeumung</t>
  </si>
  <si>
    <t>Wird immer einmalig addiert, unabhängig von Mindestzeit.</t>
  </si>
  <si>
    <t>Materiallogik (je Leistung)</t>
  </si>
  <si>
    <t>% Zuschlag oder Fix je Einheit</t>
  </si>
  <si>
    <t>service.material_type, service.material_value</t>
  </si>
  <si>
    <t>Wird pro Leistung später definiert.</t>
  </si>
  <si>
    <t>Schritt 2 â€“ Leistungsumfang</t>
  </si>
  <si>
    <t>Welche Leistungen machtest du digital anbieten?</t>
  </si>
  <si>
    <t>Abdecken, Boden schÃ¼tzen, Tapezieren, Streichen, Lackieren usw.</t>
  </si>
  <si>
    <t>services.active_list[]</t>
  </si>
  <si>
    <t>Mehrfachauswahl möglich.</t>
  </si>
  <si>
    <t>Eigene Leistungen hinzufügen</t>
  </si>
  <si>
    <t>Name eingeben</t>
  </si>
  <si>
    <t>custom_service.*</t>
  </si>
  <si>
    <t>Erzeugt gleichen Fragenkatalog wie Standardleistung.</t>
  </si>
  <si>
    <t>Schritt 3 â€“ Detailfragen</t>
  </si>
  <si>
    <t>Wie viele m² schafft 1 Mitarbeiter pro Tag?</t>
  </si>
  <si>
    <t>z.B. Streichen 110 mÂ²/Tag</t>
  </si>
  <si>
    <t>service.productivity_m2_day</t>
  </si>
  <si>
    <t>Basis fÃ¼r Zeitkalkulation.</t>
  </si>
  <si>
    <t>Standardfall (Referenzkalkulation)</t>
  </si>
  <si>
    <t>1 Raum (40 mÂ²) = 3 h</t>
  </si>
  <si>
    <t>service.standard_case</t>
  </si>
  <si>
    <t>Basiswert zur PlausibilitÃ¤tsprÃ¼fung.</t>
  </si>
  <si>
    <t>Materialzuschlag oder fixer Preis</t>
  </si>
  <si>
    <t>15 % / 0,50 â‚¬/mÂ²</t>
  </si>
  <si>
    <t>Individuell je Leistung.</t>
  </si>
  <si>
    <t>Effizienzvorteil ab Fläche oder Anzahl</t>
  </si>
  <si>
    <t>ab 60 mÂ² oder 3 Räume</t>
  </si>
  <si>
    <t>service.efficiency_threshold</t>
  </si>
  <si>
    <t>Zeitfaktor reduziert oberhalb Schwelle.</t>
  </si>
  <si>
    <t>Preisdeckelung ab Fläche</t>
  </si>
  <si>
    <t>ab 120 mÂ²</t>
  </si>
  <si>
    <t>service.efficiency_cap</t>
  </si>
  <si>
    <t>Kein weiterer Effizienzgewinn darÃ¼ber.</t>
  </si>
  <si>
    <t>Warte-/Trocknungszeiten</t>
  </si>
  <si>
    <t>z.B. Streichen 60â€“180 min</t>
  </si>
  <si>
    <t>service.wait_time</t>
  </si>
  <si>
    <t>Automatisch eingeplant.</t>
  </si>
  <si>
    <t>Parallelarbeit möglich?</t>
  </si>
  <si>
    <t>Ja / Nein</t>
  </si>
  <si>
    <t>service.parallel_allowed</t>
  </si>
  <si>
    <t>Steuert parallele Kalkulation.</t>
  </si>
  <si>
    <t>Arbeitsschritte &amp; Reihenfolge</t>
  </si>
  <si>
    <t>Abkleben -&gt; Grundieren -&gt; Anstrich</t>
  </si>
  <si>
    <t>service.workflow_steps[]</t>
  </si>
  <si>
    <t>Reihenfolge fÃ¼r Ablaufplanung.</t>
  </si>
  <si>
    <t>Flächenarten</t>
  </si>
  <si>
    <t>Wände, Decken, Wand+Decke, Boden, Tür, Fenster</t>
  </si>
  <si>
    <t>service.surface_type</t>
  </si>
  <si>
    <t>Beeinflusst Einheit und FlÃ¤chenfaktor.</t>
  </si>
  <si>
    <t>Übergang zu anderen Gewerken?</t>
  </si>
  <si>
    <t>service.dependency[]</t>
  </si>
  <si>
    <t>Verknüpft Folgearbeiten.</t>
  </si>
  <si>
    <t>Mindestzeit anwenden?</t>
  </si>
  <si>
    <t>service.apply_min_time</t>
  </si>
  <si>
    <t>Nutze settings.min_time_alone.</t>
  </si>
  <si>
    <t>Leistung an Wänden, Decken, Türen, Fenstern?</t>
  </si>
  <si>
    <t>Wand / Decke / Tür / Fenster</t>
  </si>
  <si>
    <t>service.element_type</t>
  </si>
  <si>
    <t>FÃ¼r Kombinationslogik.</t>
  </si>
  <si>
    <t>Besonderheiten Material/Verarbeitung</t>
  </si>
  <si>
    <t>Preis variiert nach Tapete</t>
  </si>
  <si>
    <t>service.special_notes</t>
  </si>
  <si>
    <t>Freitext.</t>
  </si>
  <si>
    <t>Leistung in Angebotsvorschau anzeigen?</t>
  </si>
  <si>
    <t>service.include_in_export</t>
  </si>
  <si>
    <t>Steuert Sichtbarkeit im Angebot.</t>
  </si>
  <si>
    <t>Schritt 4 â€“ Sonderfälle</t>
  </si>
  <si>
    <t>Nikotinbelastung vorhanden?</t>
  </si>
  <si>
    <t>Ja</t>
  </si>
  <si>
    <t xml:space="preserve"> surcharge.nikotin.time_multiplier = 1.8</t>
  </si>
  <si>
    <t>Nur bei Anstrich-Leistungen.</t>
  </si>
  <si>
    <t>Starke Verschmutzung vorhanden?</t>
  </si>
  <si>
    <t xml:space="preserve"> surcharge.verschmutzt.time_multiplier = 1.45</t>
  </si>
  <si>
    <t>Zeitzuschlag 45 %.</t>
  </si>
  <si>
    <t>Sprossenfenster betroffen?</t>
  </si>
  <si>
    <t xml:space="preserve"> surcharge.sprossen.percent_on_area = 100</t>
  </si>
  <si>
    <t>Zuschlag auf flÃ¤chen bezogene Leistungen.</t>
  </si>
  <si>
    <t>KassettentÃ¼ren betroffen?</t>
  </si>
  <si>
    <t xml:space="preserve"> surcharge.kassette.percent_on_area = 90</t>
  </si>
  <si>
    <t>Zuschlag auf flächenbezogene Leistungen.</t>
  </si>
  <si>
    <t>Stuck / Profilflächen vorhanden?</t>
  </si>
  <si>
    <t xml:space="preserve"> surcharge.stuck.percent_per_area = 25</t>
  </si>
  <si>
    <t>Zuschlag 25 %.</t>
  </si>
  <si>
    <t>Möbel umräumen erforderlich?</t>
  </si>
  <si>
    <t xml:space="preserve"> extras.raumumzug.billing = time_and_material</t>
  </si>
  <si>
    <t>Separat nach Zeitnachweis.</t>
  </si>
  <si>
    <t>Außenfenster mit Rohstellen?</t>
  </si>
  <si>
    <t xml:space="preserve"> fenster.aussen.rohstellen = true</t>
  </si>
  <si>
    <t>Zusatzschritt Vorbessern_Rohstellen.</t>
  </si>
  <si>
    <t>Tapeten entfernen â†’ Boden wasserfest schÃ¼tzen aktivieren?</t>
  </si>
  <si>
    <t>Automatisch</t>
  </si>
  <si>
    <t xml:space="preserve"> rule.on(ENT_WD) -&gt; add(BWS_BOD)</t>
  </si>
  <si>
    <t>Immer aktiv bei Tapeten entfernen.</t>
  </si>
  <si>
    <t>Zargen frisch lackiert, angrenzende Räume beachten?</t>
  </si>
  <si>
    <t xml:space="preserve"> rule.zarge_fresh = true</t>
  </si>
  <si>
    <t>Nur staubfreie Arbeiten erlaubt.</t>
  </si>
  <si>
    <t>Mustertapete gewählt?</t>
  </si>
  <si>
    <t xml:space="preserve"> tapete.muster = true</t>
  </si>
  <si>
    <t>Farbliche Grundierung Pflicht, Effizienz aus.</t>
  </si>
  <si>
    <t>Ablaufvariante bei TÃ¼ren wählen</t>
  </si>
  <si>
    <t>Wände zuerst / TÃ¼ren frÃ¼h</t>
  </si>
  <si>
    <t xml:space="preserve"> flow.variant</t>
  </si>
  <si>
    <t>Bestimmt Arbeitsreihenfolge.</t>
  </si>
  <si>
    <t>Schutz fertiger Flächen kalkulieren (nur TÃ¼ren frÃ¼h)?</t>
  </si>
  <si>
    <t xml:space="preserve"> extras.schutz_fertiger_flaechen.active = flow == tuer_frueh</t>
  </si>
  <si>
    <t>Zeit/Material separat.</t>
  </si>
  <si>
    <t>Kleinstauftrag Mindestzeit anwenden?</t>
  </si>
  <si>
    <t xml:space="preserve"> setup.min_rule</t>
  </si>
  <si>
    <t>Wenn Gesamtzeit &lt; Schwellwert.</t>
  </si>
  <si>
    <t>Beschädigungen klein (Löcher, DÃ¼bellÃ¶cher)?</t>
  </si>
  <si>
    <t xml:space="preserve"> damage.minor -&gt; map_to(Teilspachtelung)</t>
  </si>
  <si>
    <t>Wird mit Teilspachtelung verrechnet.</t>
  </si>
  <si>
    <t>Beschädigungen flächig (Spachtelung)?</t>
  </si>
  <si>
    <t xml:space="preserve"> damage.major -&gt; map_to(Vollspachtelung)</t>
  </si>
  <si>
    <t>Mit Wartezeit 1 Tag.</t>
  </si>
  <si>
    <t>Schritt 5 â€“ Ablaufvarianten</t>
  </si>
  <si>
    <t>Wände zuerst oder TÃ¼ren frÃ¼h?</t>
  </si>
  <si>
    <t>Bestimmt Ablauf-Logik.</t>
  </si>
  <si>
    <t>Zwischentrocknung beachten?</t>
  </si>
  <si>
    <t xml:space="preserve"> flow.wait_step</t>
  </si>
  <si>
    <t>Verbindet Wartezeiten mit Folgearbeiten.</t>
  </si>
  <si>
    <t>Schritt 6 â€“ Mustertapete</t>
  </si>
  <si>
    <t>Preis und Kalkulation</t>
  </si>
  <si>
    <t>nach Kundenwahl / Platzhalter</t>
  </si>
  <si>
    <t xml:space="preserve"> tapete.muster.preis</t>
  </si>
  <si>
    <t>Farbliche Grundierung erforderlich.</t>
  </si>
  <si>
    <t>Farbliche Grundierung aktivieren?</t>
  </si>
  <si>
    <t xml:space="preserve"> tapete.muster.require_basecoat</t>
  </si>
  <si>
    <t>Pflicht wenn Mustertapete aktiv.</t>
  </si>
  <si>
    <t>Effizienz und Deckelung deaktivieren?</t>
  </si>
  <si>
    <t xml:space="preserve"> tapete.muster.efficiency = off</t>
  </si>
  <si>
    <t>Automatische Abschaltung.</t>
  </si>
  <si>
    <t>Schritt 7 â€“ Fensterdetails</t>
  </si>
  <si>
    <t>Fenster innen lackieren?</t>
  </si>
  <si>
    <t xml:space="preserve"> fenster.innen.active</t>
  </si>
  <si>
    <t>StandardfensterflÃ¼gel innen.</t>
  </si>
  <si>
    <t>Fenster außen lackieren?</t>
  </si>
  <si>
    <t xml:space="preserve"> fenster.aussen.active</t>
  </si>
  <si>
    <t>Rohstellen prÃ¼fen.</t>
  </si>
  <si>
    <t>Fenstergröße und FlÃ¼gelanzahl erfassen</t>
  </si>
  <si>
    <t>z.B. 2,5 mÂ² / 2 FlÃ¼gel</t>
  </si>
  <si>
    <t xml:space="preserve"> fenster.groesse, fenster.fluegel</t>
  </si>
  <si>
    <t>Beeinflusst Zeitbedarf.</t>
  </si>
  <si>
    <t>Fensterrahmenart (Sprossen / Standard)?</t>
  </si>
  <si>
    <t>Standard / Sprosse</t>
  </si>
  <si>
    <t xml:space="preserve"> fenster.art</t>
  </si>
  <si>
    <t>Zuschlag bei Sprossen.</t>
  </si>
  <si>
    <t>Schritt 8 â€“ Export</t>
  </si>
  <si>
    <t>Exportformat wählen</t>
  </si>
  <si>
    <t>CSV / JSON / Beides</t>
  </si>
  <si>
    <t xml:space="preserve"> export.format</t>
  </si>
  <si>
    <t>Legt Exporttyp fest.</t>
  </si>
  <si>
    <t>Zusammenfassung anzeigen?</t>
  </si>
  <si>
    <t xml:space="preserve"> export.show_summary</t>
  </si>
  <si>
    <t>Erstellt Übersicht aller Eingaben.</t>
  </si>
  <si>
    <t>Rechenbeispiel mit aktuellen Werten anzeigen?</t>
  </si>
  <si>
    <t xml:space="preserve"> export.show_calculation</t>
  </si>
  <si>
    <t>Zeigt Beispielkalkulation im Frontend.</t>
  </si>
  <si>
    <t>Datei herunterladen oder senden?</t>
  </si>
  <si>
    <t>Download / Senden an E-Mail</t>
  </si>
  <si>
    <t xml:space="preserve"> export.output_method</t>
  </si>
  <si>
    <t>Definiert Ausgabeweg.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</si>
</sst>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 [$€-1]"/>
    <numFmt numFmtId="166" formatCode="d\.m"/>
  </numFmts>
  <fonts count="10">
    <font>
      <sz val="10.0"/>
      <color rgb="FF000000"/>
      <name val="Arial"/>
      <scheme val="minor"/>
    </font>
    <font>
      <sz val="10.0"/>
      <color theme="1"/>
      <name val="Arial"/>
    </font>
    <font>
      <b/>
      <sz val="10.0"/>
      <color theme="1"/>
      <name val="Arial"/>
    </font>
    <font>
      <sz val="10.0"/>
      <color rgb="FF000000"/>
      <name val="Arial"/>
    </font>
    <font>
      <b/>
      <sz val="12.0"/>
      <color rgb="FF000000"/>
      <name val="Arial"/>
    </font>
    <font>
      <b/>
      <sz val="10.0"/>
      <color rgb="FF000000"/>
      <name val="Arial"/>
    </font>
    <font>
      <b/>
      <sz val="11.0"/>
      <color rgb="FF000000"/>
      <name val="Calibri"/>
    </font>
    <font>
      <color theme="1"/>
      <name val="Arial"/>
    </font>
    <font>
      <sz val="10.0"/>
      <color rgb="FF434343"/>
      <name val="Roboto"/>
    </font>
    <font>
      <sz val="10.0"/>
      <color rgb="FF2A3243"/>
      <name val="Roboto"/>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5">
    <border/>
    <border>
      <left/>
      <right/>
      <top/>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shrinkToFit="0" wrapText="1"/>
    </xf>
    <xf borderId="0" fillId="0" fontId="2" numFmtId="0" xfId="0" applyAlignment="1" applyFont="1">
      <alignment horizontal="center" vertical="center"/>
    </xf>
    <xf borderId="0" fillId="0" fontId="2" numFmtId="49" xfId="0" applyAlignment="1" applyFont="1" applyNumberFormat="1">
      <alignment horizontal="left" vertical="center"/>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1" numFmtId="0" xfId="0" applyFont="1"/>
    <xf borderId="0" fillId="0" fontId="2" numFmtId="0" xfId="0" applyFont="1"/>
    <xf borderId="0" fillId="0" fontId="1" numFmtId="0" xfId="0" applyAlignment="1" applyFont="1">
      <alignment horizontal="center" vertical="center"/>
    </xf>
    <xf borderId="0" fillId="0" fontId="1" numFmtId="0" xfId="0" applyAlignment="1" applyFont="1">
      <alignment shrinkToFit="0" vertical="center" wrapText="1"/>
    </xf>
    <xf borderId="0" fillId="0" fontId="1" numFmtId="0" xfId="0" applyAlignment="1" applyFont="1">
      <alignment shrinkToFit="0" wrapText="1"/>
    </xf>
    <xf borderId="0" fillId="0" fontId="1" numFmtId="0" xfId="0" applyAlignment="1" applyFont="1">
      <alignment horizontal="center" shrinkToFit="0" vertical="center" wrapText="1"/>
    </xf>
    <xf borderId="0" fillId="0" fontId="1" numFmtId="0" xfId="0" applyAlignment="1" applyFont="1">
      <alignment readingOrder="0" shrinkToFit="0" vertical="center" wrapText="1"/>
    </xf>
    <xf borderId="0" fillId="0" fontId="3" numFmtId="0" xfId="0" applyAlignment="1" applyFont="1">
      <alignment shrinkToFit="0" wrapText="1"/>
    </xf>
    <xf borderId="0" fillId="0" fontId="4" numFmtId="0" xfId="0" applyAlignment="1" applyFont="1">
      <alignment shrinkToFit="0" wrapText="1"/>
    </xf>
    <xf borderId="0" fillId="0" fontId="5" numFmtId="0" xfId="0" applyAlignment="1" applyFont="1">
      <alignment shrinkToFit="0" wrapText="1"/>
    </xf>
    <xf borderId="0" fillId="0" fontId="6" numFmtId="0" xfId="0" applyAlignment="1" applyFont="1">
      <alignment shrinkToFit="0" wrapText="1"/>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7"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horizontal="center" shrinkToFit="0" vertical="center" wrapText="0"/>
    </xf>
    <xf borderId="0" fillId="0" fontId="1" numFmtId="165" xfId="0" applyAlignment="1" applyFont="1" applyNumberFormat="1">
      <alignment shrinkToFit="0" vertical="center" wrapText="0"/>
    </xf>
    <xf borderId="0" fillId="0" fontId="1" numFmtId="4" xfId="0" applyAlignment="1" applyFont="1" applyNumberFormat="1">
      <alignment shrinkToFit="0" vertical="center" wrapText="0"/>
    </xf>
    <xf borderId="0" fillId="0" fontId="1" numFmtId="2" xfId="0" applyAlignment="1" applyFont="1" applyNumberFormat="1">
      <alignment shrinkToFit="0" vertical="center" wrapText="0"/>
    </xf>
    <xf borderId="0" fillId="0" fontId="1" numFmtId="166" xfId="0" applyAlignment="1" applyFont="1" applyNumberFormat="1">
      <alignment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shrinkToFit="0" vertical="center" wrapText="1"/>
    </xf>
    <xf borderId="1" fillId="2" fontId="8" numFmtId="0" xfId="0" applyAlignment="1" applyBorder="1" applyFill="1" applyFont="1">
      <alignment shrinkToFit="0" vertical="center" wrapText="1"/>
    </xf>
    <xf borderId="2" fillId="2" fontId="8" numFmtId="0" xfId="0" applyAlignment="1" applyBorder="1" applyFont="1">
      <alignment shrinkToFit="0" vertical="center" wrapText="1"/>
    </xf>
    <xf borderId="3" fillId="2" fontId="8" numFmtId="0" xfId="0" applyAlignment="1" applyBorder="1" applyFont="1">
      <alignment shrinkToFit="0" vertical="center" wrapText="1"/>
    </xf>
    <xf borderId="2" fillId="2" fontId="9" numFmtId="0" xfId="0" applyAlignment="1" applyBorder="1" applyFont="1">
      <alignment shrinkToFit="0" vertical="center" wrapText="1"/>
    </xf>
    <xf borderId="4" fillId="3" fontId="8" numFmtId="0" xfId="0" applyAlignment="1" applyBorder="1" applyFill="1" applyFont="1">
      <alignment shrinkToFit="0" vertical="center" wrapText="1"/>
    </xf>
    <xf borderId="0" fillId="0" fontId="1" numFmtId="0" xfId="0" applyAlignment="1" applyFont="1">
      <alignment horizontal="center" readingOrder="0" shrinkToFit="0" vertical="center" wrapText="0"/>
    </xf>
    <xf borderId="0" fillId="0" fontId="1" numFmtId="166" xfId="0" applyAlignment="1" applyFont="1" applyNumberFormat="1">
      <alignment horizontal="center" shrinkToFit="0" vertical="center" wrapText="1"/>
    </xf>
    <xf borderId="0" fillId="0" fontId="1"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3" pivot="0" name="Berechnung Vorgehen-style">
      <tableStyleElement dxfId="1" type="headerRow"/>
      <tableStyleElement dxfId="2" type="firstRowStripe"/>
      <tableStyleElement dxfId="3" type="secondRowStripe"/>
    </tableStyle>
    <tableStyle count="2" pivot="0" name="Berechnung Vorgehen-style 2">
      <tableStyleElement dxfId="2" type="firstRowStripe"/>
      <tableStyleElement dxfId="3" type="secondRowStripe"/>
    </tableStyle>
    <tableStyle count="4" pivot="0" name="Test-Tabelle-style">
      <tableStyleElement dxfId="1" type="headerRow"/>
      <tableStyleElement dxfId="2" type="firstRowStripe"/>
      <tableStyleElement dxfId="3" type="secondRowStripe"/>
      <tableStyleElement dxfId="4" size="0" type="wholeTable"/>
    </tableStyle>
    <tableStyle count="4" pivot="0" name="Leistungen-style">
      <tableStyleElement dxfId="1" type="headerRow"/>
      <tableStyleElement dxfId="2" type="firstRowStripe"/>
      <tableStyleElement dxfId="3" type="secondRowStripe"/>
      <tableStyleElement dxfId="4" size="0" type="wholeTable"/>
    </tableStyle>
    <tableStyle count="4" pivot="0" name="Sonderleistungen-style">
      <tableStyleElement dxfId="1" type="headerRow"/>
      <tableStyleElement dxfId="2" type="firstRowStripe"/>
      <tableStyleElement dxfId="3" type="secondRowStripe"/>
      <tableStyleElement dxfId="4" size="0" type="wholeTable"/>
    </tableStyle>
    <tableStyle count="4" pivot="0" name="Faktoren-style">
      <tableStyleElement dxfId="1" type="headerRow"/>
      <tableStyleElement dxfId="2" type="firstRowStripe"/>
      <tableStyleElement dxfId="3" type="secondRowStripe"/>
      <tableStyleElement dxfId="4" size="0" type="wholeTable"/>
    </tableStyle>
    <tableStyle count="4" pivot="0" name="Onboard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M40"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erechnung Vorgehe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Q3:Q8" displayName="Table_2" name="Table_2" id="2">
  <tableColumns count="1">
    <tableColumn name="Column1" id="1"/>
  </tableColumns>
  <tableStyleInfo name="Berechnung Vorgehen-style 2" showColumnStripes="0" showFirstColumn="1" showLastColumn="1" showRowStripes="1"/>
</table>
</file>

<file path=xl/tables/table3.xml><?xml version="1.0" encoding="utf-8"?>
<table xmlns="http://schemas.openxmlformats.org/spreadsheetml/2006/main" ref="A1:AF25" displayName="Table_3" name="Table_3" id="3">
  <tableColumns count="32">
    <tableColumn name="Objekt" id="1"/>
    <tableColumn name="Bereich" id="2"/>
    <tableColumn name="Mengen-Grundlage" id="3"/>
    <tableColumn name="Höhenangabe Raum" id="4"/>
    <tableColumn name="Objektangabe Kunde" id="5"/>
    <tableColumn name="Formel" id="6"/>
    <tableColumn name="Menge X" id="7"/>
    <tableColumn name="Menge Decke/Boden" id="8"/>
    <tableColumn name="Menge Wände" id="9"/>
    <tableColumn name="Faktor Typ" id="10"/>
    <tableColumn name="Faktor Menge" id="11"/>
    <tableColumn name="Leistung" id="12"/>
    <tableColumn name="Sonderleistung" id="13"/>
    <tableColumn name="Parallelarbeit Freigabe Kunde" id="14"/>
    <tableColumn name="Effizienzstatus" id="15"/>
    <tableColumn name="Abdecken" id="16"/>
    <tableColumn name="Abdecken Minuten" id="17"/>
    <tableColumn name="Leistung 1" id="18"/>
    <tableColumn name="€-L1" id="19"/>
    <tableColumn name="Minuten-L1" id="20"/>
    <tableColumn name="Wartezeit Minuten" id="21"/>
    <tableColumn name="Leistung 3" id="22"/>
    <tableColumn name="Leistung 4" id="23"/>
    <tableColumn name="Leistung 5" id="24"/>
    <tableColumn name="Leistung 6" id="25"/>
    <tableColumn name="Leistung 7" id="26"/>
    <tableColumn name="Leistung 8" id="27"/>
    <tableColumn name="Leistung 9" id="28"/>
    <tableColumn name="Leistung 10" id="29"/>
    <tableColumn name="Spalte 22" id="30"/>
    <tableColumn name="Spalte 23" id="31"/>
    <tableColumn name="Column 15" id="32"/>
  </tableColumns>
  <tableStyleInfo name="Test-Tabelle-style" showColumnStripes="0" showFirstColumn="1" showLastColumn="1" showRowStripes="1"/>
</table>
</file>

<file path=xl/tables/table4.xml><?xml version="1.0" encoding="utf-8"?>
<table xmlns="http://schemas.openxmlformats.org/spreadsheetml/2006/main" ref="A1:N38" displayName="Table_4" name="Table_4" id="4">
  <tableColumns count="14">
    <tableColumn name="Titel" id="1"/>
    <tableColumn name="Übergeordnete Leistung" id="2"/>
    <tableColumn name="Leistungstyp" id="3"/>
    <tableColumn name="Leistung / Variante" id="4"/>
    <tableColumn name="In Leistung enthalten" id="5"/>
    <tableColumn name="Einheit" id="6"/>
    <tableColumn name="Grenzeffektivität max Einheitsmengen am Tag" id="7"/>
    <tableColumn name="Menge Standardfall" id="8"/>
    <tableColumn name="Referenzzeit Standardfall" id="9"/>
    <tableColumn name="Standartwert je Einheit in Min" id="10"/>
    <tableColumn name="Herleitung (min/Einheit &amp; Formel) Standardfall" id="11"/>
    <tableColumn name="Material (Standard)" id="12"/>
    <tableColumn name="Wartezeit" id="13"/>
    <tableColumn name="Mindestzeit /Effizienzsteigerung / Deckel" id="14"/>
  </tableColumns>
  <tableStyleInfo name="Leistungen-style" showColumnStripes="0" showFirstColumn="1" showLastColumn="1" showRowStripes="1"/>
</table>
</file>

<file path=xl/tables/table5.xml><?xml version="1.0" encoding="utf-8"?>
<table xmlns="http://schemas.openxmlformats.org/spreadsheetml/2006/main" ref="B1:M45" displayName="Table_5" name="Table_5" id="5">
  <tableColumns count="12">
    <tableColumn name="Auswirkung Bereich" id="1"/>
    <tableColumn name="Benötigte Zusatzleistung" id="2"/>
    <tableColumn name="Auswirkung Leistung" id="3"/>
    <tableColumn name="Kathegorie" id="4"/>
    <tableColumn name="Objekt" id="5"/>
    <tableColumn name="Angabe Sonderleistung" id="6"/>
    <tableColumn name="Eingabe" id="7"/>
    <tableColumn name="Quelle" id="8"/>
    <tableColumn name="UX" id="9"/>
    <tableColumn name="Spalte 2" id="10"/>
    <tableColumn name="Spalte 3" id="11"/>
    <tableColumn name="Spalte 4" id="12"/>
  </tableColumns>
  <tableStyleInfo name="Sonderleistungen-style" showColumnStripes="0" showFirstColumn="1" showLastColumn="1" showRowStripes="1"/>
</table>
</file>

<file path=xl/tables/table6.xml><?xml version="1.0" encoding="utf-8"?>
<table xmlns="http://schemas.openxmlformats.org/spreadsheetml/2006/main" ref="B1:M47" displayName="Table_6" name="Table_6" id="6">
  <tableColumns count="12">
    <tableColumn name="Auswirkung Bereich" id="1"/>
    <tableColumn name="Auswirkung Leistung" id="2"/>
    <tableColumn name="Kathegorie" id="3"/>
    <tableColumn name="Objekt" id="4"/>
    <tableColumn name="Faktorname" id="5"/>
    <tableColumn name="Faktor" id="6"/>
    <tableColumn name="Eingabe" id="7"/>
    <tableColumn name="Quelle" id="8"/>
    <tableColumn name="UX" id="9"/>
    <tableColumn name="Spalte 2" id="10"/>
    <tableColumn name="Spalte 3" id="11"/>
    <tableColumn name="Spalte 4" id="12"/>
  </tableColumns>
  <tableStyleInfo name="Faktoren-style" showColumnStripes="0" showFirstColumn="1" showLastColumn="1" showRowStripes="1"/>
</table>
</file>

<file path=xl/tables/table7.xml><?xml version="1.0" encoding="utf-8"?>
<table xmlns="http://schemas.openxmlformats.org/spreadsheetml/2006/main" ref="B2:F51" displayName="Table_7" name="Table_7" id="7">
  <tableColumns count="5">
    <tableColumn name="Schritt / Modul" id="1"/>
    <tableColumn name="Frage / Beschreibung" id="2"/>
    <tableColumn name="Beispiel / Platzhalter" id="3"/>
    <tableColumn name="Systemvariable / Logik" id="4"/>
    <tableColumn name="Regel / Bedingung" id="5"/>
  </tableColumns>
  <tableStyleInfo name="Onboard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0"/>
    <col customWidth="1" min="2" max="2" width="13.13"/>
    <col customWidth="1" min="3" max="3" width="11.88"/>
    <col customWidth="1" min="4" max="4" width="26.13"/>
    <col customWidth="1" min="5" max="5" width="11.0"/>
    <col customWidth="1" min="6" max="6" width="28.75"/>
    <col customWidth="1" min="7" max="7" width="9.13"/>
    <col customWidth="1" min="8" max="8" width="15.88"/>
    <col customWidth="1" min="9" max="9" width="14.75"/>
    <col customWidth="1" min="10" max="10" width="9.63"/>
    <col customWidth="1" min="11" max="11" width="11.75"/>
    <col customWidth="1" min="12" max="12" width="40.0"/>
    <col customWidth="1" min="13" max="13" width="11.0"/>
    <col customWidth="1" min="14" max="15" width="13.5"/>
    <col customWidth="1" min="16" max="16" width="15.38"/>
    <col customWidth="1" min="17" max="17" width="15.13"/>
    <col customWidth="1" min="18" max="38" width="11.0"/>
  </cols>
  <sheetData>
    <row r="1">
      <c r="A1" s="1" t="s">
        <v>0</v>
      </c>
      <c r="L1" s="2"/>
    </row>
    <row r="2" ht="22.5" customHeight="1">
      <c r="A2" s="3" t="s">
        <v>1</v>
      </c>
      <c r="B2" s="4" t="s">
        <v>2</v>
      </c>
      <c r="C2" s="4" t="s">
        <v>3</v>
      </c>
      <c r="D2" s="5" t="s">
        <v>4</v>
      </c>
      <c r="E2" s="5" t="s">
        <v>5</v>
      </c>
      <c r="F2" s="5" t="s">
        <v>6</v>
      </c>
      <c r="G2" s="5" t="s">
        <v>7</v>
      </c>
      <c r="H2" s="5" t="s">
        <v>8</v>
      </c>
      <c r="I2" s="4" t="s">
        <v>9</v>
      </c>
      <c r="J2" s="5" t="s">
        <v>10</v>
      </c>
      <c r="K2" s="5" t="s">
        <v>11</v>
      </c>
      <c r="L2" s="6" t="s">
        <v>12</v>
      </c>
      <c r="M2" s="6" t="s">
        <v>3</v>
      </c>
      <c r="N2" s="7"/>
      <c r="O2" s="8" t="s">
        <v>3</v>
      </c>
      <c r="P2" s="8" t="s">
        <v>13</v>
      </c>
      <c r="Q2" s="8" t="s">
        <v>14</v>
      </c>
      <c r="R2" s="8" t="s">
        <v>15</v>
      </c>
      <c r="S2" s="8" t="s">
        <v>16</v>
      </c>
      <c r="T2" s="8" t="s">
        <v>17</v>
      </c>
      <c r="U2" s="8" t="s">
        <v>18</v>
      </c>
      <c r="V2" s="8" t="s">
        <v>19</v>
      </c>
      <c r="W2" s="8" t="s">
        <v>20</v>
      </c>
      <c r="X2" s="8"/>
      <c r="Y2" s="8"/>
      <c r="Z2" s="8"/>
    </row>
    <row r="3" ht="54.75" customHeight="1">
      <c r="A3" s="9">
        <v>1.0</v>
      </c>
      <c r="B3" s="10" t="s">
        <v>18</v>
      </c>
      <c r="C3" s="10" t="s">
        <v>21</v>
      </c>
      <c r="D3" s="10" t="s">
        <v>22</v>
      </c>
      <c r="E3" s="10"/>
      <c r="F3" s="10"/>
      <c r="G3" s="10"/>
      <c r="H3" s="10"/>
      <c r="I3" s="10"/>
      <c r="J3" s="10"/>
      <c r="K3" s="10"/>
      <c r="L3" s="10" t="s">
        <v>23</v>
      </c>
      <c r="M3" s="10"/>
      <c r="O3" s="7" t="s">
        <v>24</v>
      </c>
      <c r="P3" s="7">
        <v>15.0</v>
      </c>
      <c r="Q3" s="11" t="s">
        <v>25</v>
      </c>
    </row>
    <row r="4" ht="57.0" customHeight="1">
      <c r="A4" s="9">
        <v>3.0</v>
      </c>
      <c r="B4" s="10" t="s">
        <v>26</v>
      </c>
      <c r="C4" s="10" t="s">
        <v>27</v>
      </c>
      <c r="D4" s="10" t="s">
        <v>28</v>
      </c>
      <c r="E4" s="10" t="s">
        <v>29</v>
      </c>
      <c r="F4" s="10"/>
      <c r="G4" s="10"/>
      <c r="H4" s="10" t="s">
        <v>29</v>
      </c>
      <c r="I4" s="10" t="s">
        <v>30</v>
      </c>
      <c r="J4" s="10"/>
      <c r="K4" s="10" t="s">
        <v>31</v>
      </c>
      <c r="L4" s="10" t="s">
        <v>32</v>
      </c>
      <c r="M4" s="10"/>
      <c r="Q4" s="11" t="s">
        <v>33</v>
      </c>
    </row>
    <row r="5" ht="69.75" customHeight="1">
      <c r="A5" s="9">
        <v>4.0</v>
      </c>
      <c r="B5" s="10" t="s">
        <v>26</v>
      </c>
      <c r="C5" s="10" t="s">
        <v>34</v>
      </c>
      <c r="D5" s="10" t="s">
        <v>35</v>
      </c>
      <c r="E5" s="10"/>
      <c r="F5" s="10"/>
      <c r="G5" s="10"/>
      <c r="H5" s="10" t="s">
        <v>36</v>
      </c>
      <c r="I5" s="10" t="s">
        <v>30</v>
      </c>
      <c r="J5" s="10"/>
      <c r="K5" s="10" t="s">
        <v>37</v>
      </c>
      <c r="L5" s="10" t="s">
        <v>38</v>
      </c>
      <c r="M5" s="10"/>
      <c r="Q5" s="11" t="s">
        <v>39</v>
      </c>
    </row>
    <row r="6" ht="246.75" customHeight="1">
      <c r="A6" s="9">
        <v>5.0</v>
      </c>
      <c r="B6" s="10" t="s">
        <v>40</v>
      </c>
      <c r="C6" s="10" t="s">
        <v>21</v>
      </c>
      <c r="D6" s="10" t="s">
        <v>41</v>
      </c>
      <c r="E6" s="10"/>
      <c r="F6" s="10" t="s">
        <v>42</v>
      </c>
      <c r="G6" s="10"/>
      <c r="H6" s="10" t="s">
        <v>42</v>
      </c>
      <c r="I6" s="10" t="s">
        <v>30</v>
      </c>
      <c r="J6" s="10"/>
      <c r="K6" s="10" t="s">
        <v>43</v>
      </c>
      <c r="L6" s="10" t="s">
        <v>44</v>
      </c>
      <c r="M6" s="10"/>
      <c r="Q6" s="11" t="s">
        <v>45</v>
      </c>
    </row>
    <row r="7" ht="139.5" customHeight="1">
      <c r="A7" s="9">
        <v>6.0</v>
      </c>
      <c r="B7" s="10" t="s">
        <v>26</v>
      </c>
      <c r="C7" s="10" t="s">
        <v>27</v>
      </c>
      <c r="D7" s="10" t="s">
        <v>46</v>
      </c>
      <c r="E7" s="10"/>
      <c r="F7" s="10" t="s">
        <v>47</v>
      </c>
      <c r="G7" s="10"/>
      <c r="H7" s="10" t="s">
        <v>48</v>
      </c>
      <c r="I7" s="10" t="s">
        <v>30</v>
      </c>
      <c r="J7" s="10"/>
      <c r="K7" s="10" t="s">
        <v>49</v>
      </c>
      <c r="L7" s="10" t="s">
        <v>50</v>
      </c>
      <c r="M7" s="10"/>
      <c r="Q7" s="11" t="s">
        <v>51</v>
      </c>
    </row>
    <row r="8" ht="138.0" customHeight="1">
      <c r="A8" s="9">
        <v>7.0</v>
      </c>
      <c r="B8" s="10" t="s">
        <v>18</v>
      </c>
      <c r="C8" s="10" t="s">
        <v>21</v>
      </c>
      <c r="D8" s="10" t="s">
        <v>52</v>
      </c>
      <c r="E8" s="10"/>
      <c r="F8" s="10" t="s">
        <v>53</v>
      </c>
      <c r="G8" s="10"/>
      <c r="H8" s="10" t="s">
        <v>54</v>
      </c>
      <c r="I8" s="10" t="s">
        <v>30</v>
      </c>
      <c r="J8" s="10"/>
      <c r="K8" s="10" t="s">
        <v>55</v>
      </c>
      <c r="L8" s="10" t="s">
        <v>56</v>
      </c>
      <c r="M8" s="10"/>
      <c r="Q8" s="11" t="s">
        <v>57</v>
      </c>
    </row>
    <row r="9" ht="285.75" customHeight="1">
      <c r="A9" s="9">
        <v>6.0</v>
      </c>
      <c r="B9" s="10" t="s">
        <v>18</v>
      </c>
      <c r="C9" s="10" t="s">
        <v>21</v>
      </c>
      <c r="D9" s="10" t="s">
        <v>58</v>
      </c>
      <c r="E9" s="10" t="s">
        <v>59</v>
      </c>
      <c r="F9" s="10" t="s">
        <v>60</v>
      </c>
      <c r="G9" s="10"/>
      <c r="H9" s="10" t="s">
        <v>61</v>
      </c>
      <c r="I9" s="10" t="s">
        <v>30</v>
      </c>
      <c r="J9" s="10" t="s">
        <v>62</v>
      </c>
      <c r="K9" s="10" t="s">
        <v>63</v>
      </c>
      <c r="L9" s="10" t="s">
        <v>64</v>
      </c>
      <c r="M9" s="10"/>
    </row>
    <row r="10" ht="422.25" customHeight="1">
      <c r="A10" s="9">
        <v>7.0</v>
      </c>
      <c r="B10" s="10" t="s">
        <v>18</v>
      </c>
      <c r="C10" s="10" t="s">
        <v>21</v>
      </c>
      <c r="D10" s="10" t="s">
        <v>65</v>
      </c>
      <c r="E10" s="10"/>
      <c r="F10" s="10" t="s">
        <v>66</v>
      </c>
      <c r="G10" s="10"/>
      <c r="H10" s="10" t="s">
        <v>67</v>
      </c>
      <c r="I10" s="10" t="s">
        <v>30</v>
      </c>
      <c r="J10" s="10"/>
      <c r="K10" s="10" t="s">
        <v>63</v>
      </c>
      <c r="L10" s="10" t="s">
        <v>68</v>
      </c>
      <c r="M10" s="10"/>
    </row>
    <row r="11" ht="149.25" customHeight="1">
      <c r="A11" s="9">
        <v>8.0</v>
      </c>
      <c r="B11" s="10" t="s">
        <v>69</v>
      </c>
      <c r="C11" s="10" t="s">
        <v>21</v>
      </c>
      <c r="D11" s="10" t="s">
        <v>70</v>
      </c>
      <c r="E11" s="10"/>
      <c r="F11" s="10" t="s">
        <v>71</v>
      </c>
      <c r="G11" s="10"/>
      <c r="H11" s="10" t="s">
        <v>72</v>
      </c>
      <c r="I11" s="10" t="s">
        <v>30</v>
      </c>
      <c r="J11" s="10"/>
      <c r="K11" s="10" t="s">
        <v>73</v>
      </c>
      <c r="L11" s="10" t="s">
        <v>74</v>
      </c>
      <c r="M11" s="10"/>
    </row>
    <row r="12" ht="383.25" customHeight="1">
      <c r="A12" s="9">
        <v>9.0</v>
      </c>
      <c r="B12" s="10" t="s">
        <v>18</v>
      </c>
      <c r="C12" s="10" t="s">
        <v>21</v>
      </c>
      <c r="D12" s="10" t="s">
        <v>75</v>
      </c>
      <c r="E12" s="10"/>
      <c r="F12" s="10"/>
      <c r="G12" s="10"/>
      <c r="H12" s="10" t="s">
        <v>76</v>
      </c>
      <c r="I12" s="10" t="s">
        <v>77</v>
      </c>
      <c r="J12" s="10"/>
      <c r="K12" s="10" t="s">
        <v>78</v>
      </c>
      <c r="L12" s="10" t="s">
        <v>79</v>
      </c>
      <c r="M12" s="10"/>
    </row>
    <row r="13" ht="138.75" customHeight="1">
      <c r="A13" s="12">
        <v>10.0</v>
      </c>
      <c r="B13" s="10" t="s">
        <v>18</v>
      </c>
      <c r="C13" s="10" t="s">
        <v>21</v>
      </c>
      <c r="D13" s="10" t="s">
        <v>80</v>
      </c>
      <c r="E13" s="10"/>
      <c r="F13" s="10"/>
      <c r="G13" s="10"/>
      <c r="H13" s="10"/>
      <c r="I13" s="10" t="s">
        <v>77</v>
      </c>
      <c r="J13" s="10"/>
      <c r="K13" s="10" t="s">
        <v>78</v>
      </c>
      <c r="L13" s="10" t="s">
        <v>81</v>
      </c>
      <c r="M13" s="10"/>
    </row>
    <row r="14" ht="393.75" customHeight="1">
      <c r="A14" s="12">
        <v>11.0</v>
      </c>
      <c r="B14" s="10" t="s">
        <v>69</v>
      </c>
      <c r="C14" s="10" t="s">
        <v>21</v>
      </c>
      <c r="D14" s="10" t="s">
        <v>82</v>
      </c>
      <c r="E14" s="10"/>
      <c r="F14" s="10"/>
      <c r="G14" s="10"/>
      <c r="H14" s="10" t="s">
        <v>83</v>
      </c>
      <c r="I14" s="10" t="s">
        <v>77</v>
      </c>
      <c r="J14" s="10"/>
      <c r="K14" s="10" t="s">
        <v>78</v>
      </c>
      <c r="L14" s="10" t="s">
        <v>84</v>
      </c>
      <c r="M14" s="10"/>
    </row>
    <row r="15" ht="186.75" customHeight="1">
      <c r="A15" s="12">
        <v>12.0</v>
      </c>
      <c r="B15" s="10"/>
      <c r="C15" s="10"/>
      <c r="D15" s="13" t="s">
        <v>85</v>
      </c>
      <c r="E15" s="10"/>
      <c r="F15" s="10"/>
      <c r="G15" s="10"/>
      <c r="H15" s="10"/>
      <c r="I15" s="10"/>
      <c r="J15" s="10"/>
      <c r="K15" s="10"/>
      <c r="L15" s="10" t="s">
        <v>86</v>
      </c>
      <c r="M15" s="10"/>
    </row>
    <row r="16" ht="22.5" customHeight="1">
      <c r="A16" s="12">
        <v>13.0</v>
      </c>
      <c r="B16" s="10"/>
      <c r="C16" s="10"/>
      <c r="D16" s="10"/>
      <c r="E16" s="10"/>
      <c r="F16" s="10"/>
      <c r="G16" s="10"/>
      <c r="H16" s="10"/>
      <c r="I16" s="10"/>
      <c r="J16" s="10"/>
      <c r="K16" s="10"/>
      <c r="L16" s="10"/>
      <c r="M16" s="10"/>
    </row>
    <row r="17" ht="22.5" customHeight="1">
      <c r="A17" s="12">
        <v>14.0</v>
      </c>
      <c r="B17" s="10"/>
      <c r="C17" s="10"/>
      <c r="D17" s="10"/>
      <c r="E17" s="10"/>
      <c r="F17" s="10"/>
      <c r="G17" s="10"/>
      <c r="H17" s="10"/>
      <c r="I17" s="10"/>
      <c r="J17" s="10"/>
      <c r="K17" s="10"/>
      <c r="L17" s="10"/>
      <c r="M17" s="10"/>
    </row>
    <row r="18" ht="22.5" customHeight="1">
      <c r="A18" s="12">
        <v>15.0</v>
      </c>
      <c r="B18" s="10"/>
      <c r="C18" s="10"/>
      <c r="D18" s="10"/>
      <c r="E18" s="10"/>
      <c r="F18" s="10"/>
      <c r="G18" s="10"/>
      <c r="H18" s="10"/>
      <c r="I18" s="10"/>
      <c r="J18" s="10"/>
      <c r="K18" s="10"/>
      <c r="L18" s="10"/>
      <c r="M18" s="10"/>
    </row>
    <row r="19" ht="22.5" customHeight="1">
      <c r="A19" s="12">
        <v>16.0</v>
      </c>
      <c r="B19" s="10"/>
      <c r="C19" s="10"/>
      <c r="D19" s="10"/>
      <c r="E19" s="10"/>
      <c r="F19" s="10"/>
      <c r="G19" s="10"/>
      <c r="H19" s="10"/>
      <c r="I19" s="10"/>
      <c r="J19" s="10"/>
      <c r="K19" s="10"/>
      <c r="L19" s="10"/>
      <c r="M19" s="10"/>
    </row>
    <row r="20" ht="22.5" customHeight="1">
      <c r="A20" s="12">
        <v>17.0</v>
      </c>
      <c r="B20" s="10"/>
      <c r="C20" s="10"/>
      <c r="D20" s="10"/>
      <c r="E20" s="10"/>
      <c r="F20" s="10"/>
      <c r="G20" s="10"/>
      <c r="H20" s="10"/>
      <c r="I20" s="10"/>
      <c r="J20" s="10"/>
      <c r="K20" s="10"/>
      <c r="L20" s="10"/>
      <c r="M20" s="10"/>
    </row>
    <row r="21" ht="22.5" customHeight="1">
      <c r="A21" s="12">
        <v>18.0</v>
      </c>
      <c r="B21" s="10"/>
      <c r="C21" s="10"/>
      <c r="D21" s="10"/>
      <c r="E21" s="10"/>
      <c r="F21" s="10"/>
      <c r="G21" s="10"/>
      <c r="H21" s="10"/>
      <c r="I21" s="10"/>
      <c r="J21" s="10"/>
      <c r="K21" s="10"/>
      <c r="L21" s="10"/>
      <c r="M21" s="10"/>
    </row>
    <row r="22" ht="22.5" customHeight="1">
      <c r="A22" s="12">
        <v>19.0</v>
      </c>
      <c r="B22" s="10"/>
      <c r="C22" s="10"/>
      <c r="D22" s="10"/>
      <c r="E22" s="10"/>
      <c r="F22" s="10"/>
      <c r="G22" s="10"/>
      <c r="H22" s="10"/>
      <c r="I22" s="10"/>
      <c r="J22" s="10"/>
      <c r="K22" s="10"/>
      <c r="L22" s="10"/>
      <c r="M22" s="10"/>
    </row>
    <row r="23" ht="22.5" customHeight="1">
      <c r="A23" s="12">
        <v>20.0</v>
      </c>
      <c r="B23" s="10"/>
      <c r="C23" s="10"/>
      <c r="D23" s="10"/>
      <c r="E23" s="10"/>
      <c r="F23" s="10"/>
      <c r="G23" s="10"/>
      <c r="H23" s="10"/>
      <c r="I23" s="10"/>
      <c r="J23" s="10"/>
      <c r="K23" s="10"/>
      <c r="L23" s="10"/>
      <c r="M23" s="10"/>
    </row>
    <row r="24" ht="22.5" customHeight="1">
      <c r="A24" s="12">
        <v>21.0</v>
      </c>
      <c r="B24" s="10"/>
      <c r="C24" s="10"/>
      <c r="D24" s="10"/>
      <c r="E24" s="10"/>
      <c r="F24" s="10"/>
      <c r="G24" s="10"/>
      <c r="H24" s="10"/>
      <c r="I24" s="10"/>
      <c r="J24" s="10"/>
      <c r="K24" s="10"/>
      <c r="L24" s="10"/>
      <c r="M24" s="10"/>
    </row>
    <row r="25" ht="22.5" customHeight="1">
      <c r="A25" s="12">
        <v>22.0</v>
      </c>
      <c r="B25" s="10"/>
      <c r="C25" s="10"/>
      <c r="D25" s="10"/>
      <c r="E25" s="10"/>
      <c r="F25" s="10"/>
      <c r="G25" s="10"/>
      <c r="H25" s="10"/>
      <c r="I25" s="10"/>
      <c r="J25" s="10"/>
      <c r="K25" s="10"/>
      <c r="L25" s="10"/>
      <c r="M25" s="10"/>
    </row>
    <row r="26" ht="22.5" customHeight="1">
      <c r="A26" s="12">
        <v>23.0</v>
      </c>
      <c r="B26" s="10"/>
      <c r="C26" s="10"/>
      <c r="D26" s="10"/>
      <c r="E26" s="10"/>
      <c r="F26" s="10"/>
      <c r="G26" s="10"/>
      <c r="H26" s="10"/>
      <c r="I26" s="10"/>
      <c r="J26" s="10"/>
      <c r="K26" s="10"/>
      <c r="L26" s="10"/>
      <c r="M26" s="10"/>
    </row>
    <row r="27" ht="22.5" customHeight="1">
      <c r="A27" s="12">
        <v>24.0</v>
      </c>
      <c r="B27" s="10"/>
      <c r="C27" s="10"/>
      <c r="D27" s="10"/>
      <c r="E27" s="10"/>
      <c r="F27" s="10"/>
      <c r="G27" s="10"/>
      <c r="H27" s="10"/>
      <c r="I27" s="10"/>
      <c r="J27" s="10"/>
      <c r="K27" s="10"/>
      <c r="L27" s="10"/>
      <c r="M27" s="10"/>
    </row>
    <row r="28" ht="22.5" customHeight="1">
      <c r="A28" s="12"/>
      <c r="B28" s="10"/>
      <c r="C28" s="10"/>
      <c r="D28" s="10"/>
      <c r="E28" s="10"/>
      <c r="F28" s="10"/>
      <c r="G28" s="10"/>
      <c r="H28" s="10"/>
      <c r="I28" s="10"/>
      <c r="J28" s="10"/>
      <c r="K28" s="10"/>
      <c r="L28" s="10"/>
      <c r="M28" s="10"/>
    </row>
    <row r="29" ht="22.5" customHeight="1">
      <c r="A29" s="12"/>
      <c r="B29" s="10"/>
      <c r="C29" s="10"/>
      <c r="D29" s="10"/>
      <c r="E29" s="10"/>
      <c r="F29" s="10"/>
      <c r="G29" s="10"/>
      <c r="H29" s="10"/>
      <c r="I29" s="10"/>
      <c r="J29" s="10"/>
      <c r="K29" s="10"/>
      <c r="L29" s="10"/>
      <c r="M29" s="10"/>
    </row>
    <row r="30" ht="22.5" customHeight="1">
      <c r="A30" s="12"/>
      <c r="B30" s="10"/>
      <c r="C30" s="10"/>
      <c r="D30" s="10"/>
      <c r="E30" s="10"/>
      <c r="F30" s="10"/>
      <c r="G30" s="10"/>
      <c r="H30" s="10"/>
      <c r="I30" s="10"/>
      <c r="J30" s="10"/>
      <c r="K30" s="10"/>
      <c r="L30" s="10"/>
      <c r="M30" s="10"/>
    </row>
    <row r="31" ht="22.5" customHeight="1">
      <c r="A31" s="12"/>
      <c r="B31" s="10"/>
      <c r="C31" s="10"/>
      <c r="D31" s="10"/>
      <c r="E31" s="10"/>
      <c r="F31" s="10"/>
      <c r="G31" s="10"/>
      <c r="H31" s="10"/>
      <c r="I31" s="10"/>
      <c r="J31" s="10"/>
      <c r="K31" s="10"/>
      <c r="L31" s="10"/>
      <c r="M31" s="10"/>
    </row>
    <row r="32" ht="22.5" customHeight="1">
      <c r="A32" s="12"/>
      <c r="B32" s="10"/>
      <c r="C32" s="10"/>
      <c r="D32" s="10"/>
      <c r="E32" s="10"/>
      <c r="F32" s="10"/>
      <c r="G32" s="10"/>
      <c r="H32" s="10"/>
      <c r="I32" s="10"/>
      <c r="J32" s="10"/>
      <c r="K32" s="10"/>
      <c r="L32" s="10"/>
      <c r="M32" s="10"/>
    </row>
    <row r="33" ht="22.5" customHeight="1">
      <c r="A33" s="12"/>
      <c r="B33" s="10"/>
      <c r="C33" s="10"/>
      <c r="D33" s="10"/>
      <c r="E33" s="10"/>
      <c r="F33" s="10"/>
      <c r="G33" s="10"/>
      <c r="H33" s="10"/>
      <c r="I33" s="10"/>
      <c r="J33" s="10"/>
      <c r="K33" s="10"/>
      <c r="L33" s="10"/>
      <c r="M33" s="10"/>
    </row>
    <row r="34" ht="22.5" customHeight="1">
      <c r="A34" s="12"/>
      <c r="B34" s="10"/>
      <c r="C34" s="10"/>
      <c r="D34" s="10"/>
      <c r="E34" s="10"/>
      <c r="F34" s="10"/>
      <c r="G34" s="10"/>
      <c r="H34" s="10"/>
      <c r="I34" s="10"/>
      <c r="J34" s="10"/>
      <c r="K34" s="10"/>
      <c r="L34" s="10"/>
      <c r="M34" s="10"/>
    </row>
    <row r="35" ht="22.5" customHeight="1">
      <c r="A35" s="12"/>
      <c r="B35" s="10"/>
      <c r="C35" s="10"/>
      <c r="D35" s="10"/>
      <c r="E35" s="10"/>
      <c r="F35" s="10"/>
      <c r="G35" s="10"/>
      <c r="H35" s="10"/>
      <c r="I35" s="10"/>
      <c r="J35" s="10"/>
      <c r="K35" s="10"/>
      <c r="L35" s="10"/>
      <c r="M35" s="10"/>
    </row>
    <row r="36" ht="22.5" customHeight="1">
      <c r="A36" s="12"/>
      <c r="B36" s="10"/>
      <c r="C36" s="10"/>
      <c r="D36" s="10"/>
      <c r="E36" s="10"/>
      <c r="F36" s="10"/>
      <c r="G36" s="10"/>
      <c r="H36" s="10"/>
      <c r="I36" s="10"/>
      <c r="J36" s="10"/>
      <c r="K36" s="10"/>
      <c r="L36" s="10"/>
      <c r="M36" s="10"/>
    </row>
    <row r="37" ht="22.5" customHeight="1">
      <c r="A37" s="12"/>
      <c r="B37" s="10"/>
      <c r="C37" s="10"/>
      <c r="D37" s="10"/>
      <c r="E37" s="10"/>
      <c r="F37" s="10"/>
      <c r="G37" s="10"/>
      <c r="H37" s="10"/>
      <c r="I37" s="10"/>
      <c r="J37" s="10"/>
      <c r="K37" s="10"/>
      <c r="L37" s="10"/>
      <c r="M37" s="10"/>
    </row>
    <row r="38" ht="22.5" customHeight="1">
      <c r="A38" s="12"/>
      <c r="B38" s="10"/>
      <c r="C38" s="10"/>
      <c r="D38" s="10"/>
      <c r="E38" s="10"/>
      <c r="F38" s="10"/>
      <c r="G38" s="10"/>
      <c r="H38" s="10"/>
      <c r="I38" s="10"/>
      <c r="J38" s="10"/>
      <c r="K38" s="10"/>
      <c r="L38" s="10"/>
      <c r="M38" s="10"/>
    </row>
    <row r="39" ht="22.5" customHeight="1">
      <c r="A39" s="12"/>
      <c r="B39" s="10"/>
      <c r="C39" s="10"/>
      <c r="D39" s="10"/>
      <c r="E39" s="10"/>
      <c r="F39" s="10"/>
      <c r="G39" s="10"/>
      <c r="H39" s="10"/>
      <c r="I39" s="10"/>
      <c r="J39" s="10"/>
      <c r="K39" s="10"/>
      <c r="L39" s="10"/>
      <c r="M39" s="10"/>
    </row>
    <row r="40" ht="22.5" customHeight="1">
      <c r="A40" s="12"/>
      <c r="B40" s="10"/>
      <c r="C40" s="10"/>
      <c r="D40" s="10"/>
      <c r="E40" s="10"/>
      <c r="F40" s="10"/>
      <c r="G40" s="10"/>
      <c r="H40" s="10"/>
      <c r="I40" s="10"/>
      <c r="J40" s="10"/>
      <c r="K40" s="10"/>
      <c r="L40" s="10"/>
      <c r="M40" s="10"/>
    </row>
    <row r="41">
      <c r="A41" s="1"/>
      <c r="L41" s="2"/>
    </row>
    <row r="42">
      <c r="A42" s="1"/>
      <c r="L42" s="2"/>
    </row>
    <row r="43">
      <c r="A43" s="1"/>
      <c r="L43" s="2"/>
    </row>
    <row r="44">
      <c r="A44" s="1"/>
      <c r="L44" s="2"/>
    </row>
    <row r="45">
      <c r="A45" s="1"/>
      <c r="L45" s="2"/>
    </row>
    <row r="46">
      <c r="A46" s="1"/>
      <c r="L46" s="2"/>
    </row>
    <row r="47">
      <c r="A47" s="1"/>
      <c r="L47" s="2"/>
    </row>
    <row r="48">
      <c r="A48" s="1"/>
      <c r="L48" s="2"/>
    </row>
    <row r="49">
      <c r="A49" s="1"/>
      <c r="L49" s="2"/>
    </row>
    <row r="50">
      <c r="A50" s="1"/>
      <c r="L50" s="2"/>
    </row>
    <row r="51">
      <c r="A51" s="1"/>
      <c r="L51" s="2"/>
    </row>
    <row r="52">
      <c r="A52" s="1"/>
      <c r="L52" s="2"/>
    </row>
    <row r="53">
      <c r="A53" s="1"/>
      <c r="L53" s="2"/>
    </row>
    <row r="54">
      <c r="A54" s="1"/>
      <c r="L54" s="2"/>
    </row>
    <row r="55">
      <c r="A55" s="1"/>
      <c r="L55" s="2"/>
    </row>
    <row r="56">
      <c r="A56" s="1"/>
      <c r="L56" s="2"/>
    </row>
    <row r="57">
      <c r="A57" s="1"/>
      <c r="L57" s="2"/>
    </row>
    <row r="58">
      <c r="A58" s="1"/>
      <c r="L58" s="2"/>
    </row>
    <row r="59">
      <c r="A59" s="1"/>
      <c r="L59" s="2"/>
    </row>
    <row r="60">
      <c r="A60" s="1"/>
      <c r="L60" s="2"/>
    </row>
    <row r="61">
      <c r="A61" s="1"/>
      <c r="L61" s="2"/>
    </row>
    <row r="62">
      <c r="A62" s="1"/>
      <c r="L62" s="2"/>
    </row>
    <row r="63">
      <c r="A63" s="1"/>
      <c r="L63" s="2"/>
    </row>
    <row r="64">
      <c r="A64" s="1"/>
      <c r="L64" s="2"/>
    </row>
    <row r="65">
      <c r="A65" s="1"/>
      <c r="L65" s="2"/>
    </row>
    <row r="66">
      <c r="A66" s="1"/>
      <c r="L66" s="2"/>
    </row>
    <row r="67">
      <c r="A67" s="1"/>
      <c r="L67" s="2"/>
    </row>
    <row r="68">
      <c r="A68" s="1"/>
      <c r="L68" s="2"/>
    </row>
    <row r="69">
      <c r="A69" s="1"/>
      <c r="L69" s="2"/>
    </row>
    <row r="70">
      <c r="A70" s="1"/>
      <c r="L70" s="2"/>
    </row>
    <row r="71">
      <c r="A71" s="1"/>
      <c r="L71" s="2"/>
    </row>
    <row r="72">
      <c r="A72" s="1"/>
      <c r="L72" s="2"/>
    </row>
    <row r="73">
      <c r="A73" s="1"/>
      <c r="L73" s="2"/>
    </row>
    <row r="74">
      <c r="A74" s="1"/>
      <c r="L74" s="2"/>
    </row>
    <row r="75">
      <c r="A75" s="1"/>
      <c r="L75" s="2"/>
    </row>
    <row r="76">
      <c r="A76" s="1"/>
      <c r="L76" s="2"/>
    </row>
    <row r="77">
      <c r="A77" s="1"/>
      <c r="L77" s="2"/>
    </row>
    <row r="78">
      <c r="A78" s="1"/>
      <c r="L78" s="2"/>
    </row>
    <row r="79">
      <c r="A79" s="1"/>
      <c r="L79" s="2"/>
    </row>
    <row r="80">
      <c r="A80" s="1"/>
      <c r="L80" s="2"/>
    </row>
    <row r="81">
      <c r="A81" s="1"/>
      <c r="L81" s="2"/>
    </row>
    <row r="82">
      <c r="A82" s="1"/>
      <c r="L82" s="2"/>
    </row>
    <row r="83">
      <c r="A83" s="1"/>
      <c r="L83" s="2"/>
    </row>
    <row r="84">
      <c r="A84" s="1"/>
      <c r="L84" s="2"/>
    </row>
    <row r="85">
      <c r="A85" s="1"/>
      <c r="L85" s="2"/>
    </row>
    <row r="86">
      <c r="A86" s="1"/>
      <c r="L86" s="2"/>
    </row>
    <row r="87">
      <c r="A87" s="1"/>
      <c r="L87" s="2"/>
    </row>
    <row r="88">
      <c r="A88" s="1"/>
      <c r="L88" s="2"/>
    </row>
    <row r="89">
      <c r="A89" s="1"/>
      <c r="L89" s="2"/>
    </row>
    <row r="90">
      <c r="A90" s="1"/>
      <c r="L90" s="2"/>
    </row>
    <row r="91">
      <c r="A91" s="1"/>
      <c r="L91" s="2"/>
    </row>
    <row r="92">
      <c r="A92" s="1"/>
      <c r="L92" s="2"/>
    </row>
    <row r="93">
      <c r="A93" s="1"/>
      <c r="L93" s="2"/>
    </row>
    <row r="94">
      <c r="A94" s="1"/>
      <c r="L94" s="2"/>
    </row>
    <row r="95">
      <c r="A95" s="1"/>
      <c r="L95" s="2"/>
    </row>
    <row r="96">
      <c r="A96" s="1"/>
      <c r="L96" s="2"/>
    </row>
    <row r="97">
      <c r="A97" s="1"/>
      <c r="L97" s="2"/>
    </row>
    <row r="98">
      <c r="A98" s="1"/>
      <c r="L98" s="2"/>
    </row>
    <row r="99">
      <c r="A99" s="1"/>
      <c r="L99" s="2"/>
    </row>
    <row r="100">
      <c r="A100" s="1"/>
      <c r="L100" s="2"/>
    </row>
    <row r="101">
      <c r="A101" s="1"/>
      <c r="L101" s="2"/>
    </row>
    <row r="102">
      <c r="A102" s="1"/>
      <c r="L102" s="2"/>
    </row>
    <row r="103">
      <c r="A103" s="1"/>
      <c r="L103" s="2"/>
    </row>
    <row r="104">
      <c r="A104" s="1"/>
      <c r="L104" s="2"/>
    </row>
    <row r="105">
      <c r="A105" s="1"/>
      <c r="L105" s="2"/>
    </row>
    <row r="106">
      <c r="A106" s="1"/>
      <c r="L106" s="2"/>
    </row>
    <row r="107">
      <c r="A107" s="1"/>
      <c r="L107" s="2"/>
    </row>
    <row r="108">
      <c r="A108" s="1"/>
      <c r="L108" s="2"/>
    </row>
    <row r="109">
      <c r="A109" s="1"/>
      <c r="L109" s="2"/>
    </row>
    <row r="110">
      <c r="A110" s="1"/>
      <c r="L110" s="2"/>
    </row>
    <row r="111">
      <c r="A111" s="1"/>
      <c r="L111" s="2"/>
    </row>
    <row r="112">
      <c r="A112" s="1"/>
      <c r="L112" s="2"/>
    </row>
    <row r="113">
      <c r="A113" s="1"/>
      <c r="L113" s="2"/>
    </row>
    <row r="114">
      <c r="A114" s="1"/>
      <c r="L114" s="2"/>
    </row>
    <row r="115">
      <c r="A115" s="1"/>
      <c r="L115" s="2"/>
    </row>
    <row r="116">
      <c r="A116" s="1"/>
      <c r="L116" s="2"/>
    </row>
    <row r="117">
      <c r="A117" s="1"/>
      <c r="L117" s="2"/>
    </row>
    <row r="118">
      <c r="A118" s="1"/>
      <c r="L118" s="2"/>
    </row>
    <row r="119">
      <c r="A119" s="1"/>
      <c r="L119" s="2"/>
    </row>
    <row r="120">
      <c r="A120" s="1"/>
      <c r="L120" s="2"/>
    </row>
    <row r="121">
      <c r="A121" s="1"/>
      <c r="L121" s="2"/>
    </row>
    <row r="122">
      <c r="A122" s="1"/>
      <c r="L122" s="2"/>
    </row>
    <row r="123">
      <c r="A123" s="1"/>
      <c r="L123" s="2"/>
    </row>
    <row r="124">
      <c r="A124" s="1"/>
      <c r="L124" s="2"/>
    </row>
    <row r="125">
      <c r="A125" s="1"/>
      <c r="L125" s="2"/>
    </row>
    <row r="126">
      <c r="A126" s="1"/>
      <c r="L126" s="2"/>
    </row>
    <row r="127">
      <c r="A127" s="1"/>
      <c r="L127" s="2"/>
    </row>
    <row r="128">
      <c r="A128" s="1"/>
      <c r="L128" s="2"/>
    </row>
    <row r="129">
      <c r="A129" s="1"/>
      <c r="L129" s="2"/>
    </row>
    <row r="130">
      <c r="A130" s="1"/>
      <c r="L130" s="2"/>
    </row>
    <row r="131">
      <c r="A131" s="1"/>
      <c r="L131" s="2"/>
    </row>
    <row r="132">
      <c r="A132" s="1"/>
      <c r="L132" s="2"/>
    </row>
    <row r="133">
      <c r="A133" s="1"/>
      <c r="L133" s="2"/>
    </row>
    <row r="134">
      <c r="A134" s="1"/>
      <c r="L134" s="2"/>
    </row>
    <row r="135">
      <c r="A135" s="1"/>
      <c r="L135" s="2"/>
    </row>
    <row r="136">
      <c r="A136" s="1"/>
      <c r="L136" s="2"/>
    </row>
    <row r="137">
      <c r="A137" s="1"/>
      <c r="L137" s="2"/>
    </row>
    <row r="138">
      <c r="A138" s="1"/>
      <c r="L138" s="2"/>
    </row>
    <row r="139">
      <c r="A139" s="1"/>
      <c r="L139" s="2"/>
    </row>
    <row r="140">
      <c r="A140" s="1"/>
      <c r="L140" s="2"/>
    </row>
    <row r="141">
      <c r="A141" s="1"/>
      <c r="L141" s="2"/>
    </row>
    <row r="142">
      <c r="A142" s="1"/>
      <c r="L142" s="2"/>
    </row>
    <row r="143">
      <c r="A143" s="1"/>
      <c r="L143" s="2"/>
    </row>
    <row r="144">
      <c r="A144" s="1"/>
      <c r="L144" s="2"/>
    </row>
    <row r="145">
      <c r="A145" s="1"/>
      <c r="L145" s="2"/>
    </row>
    <row r="146">
      <c r="A146" s="1"/>
      <c r="L146" s="2"/>
    </row>
    <row r="147">
      <c r="A147" s="1"/>
      <c r="L147" s="2"/>
    </row>
    <row r="148">
      <c r="A148" s="1"/>
      <c r="L148" s="2"/>
    </row>
    <row r="149">
      <c r="A149" s="1"/>
      <c r="L149" s="2"/>
    </row>
    <row r="150">
      <c r="A150" s="1"/>
      <c r="L150" s="2"/>
    </row>
    <row r="151">
      <c r="A151" s="1"/>
      <c r="L151" s="2"/>
    </row>
    <row r="152">
      <c r="A152" s="1"/>
      <c r="L152" s="2"/>
    </row>
    <row r="153">
      <c r="A153" s="1"/>
      <c r="L153" s="2"/>
    </row>
    <row r="154">
      <c r="A154" s="1"/>
      <c r="L154" s="2"/>
    </row>
    <row r="155">
      <c r="A155" s="1"/>
      <c r="L155" s="2"/>
    </row>
    <row r="156">
      <c r="A156" s="1"/>
      <c r="L156" s="2"/>
    </row>
    <row r="157">
      <c r="A157" s="1"/>
      <c r="L157" s="2"/>
    </row>
    <row r="158">
      <c r="A158" s="1"/>
      <c r="L158" s="2"/>
    </row>
    <row r="159">
      <c r="A159" s="1"/>
      <c r="L159" s="2"/>
    </row>
    <row r="160">
      <c r="A160" s="1"/>
      <c r="L160" s="2"/>
    </row>
    <row r="161">
      <c r="A161" s="1"/>
      <c r="L161" s="2"/>
    </row>
    <row r="162">
      <c r="A162" s="1"/>
      <c r="L162" s="2"/>
    </row>
    <row r="163">
      <c r="A163" s="1"/>
      <c r="L163" s="2"/>
    </row>
    <row r="164">
      <c r="A164" s="1"/>
      <c r="L164" s="2"/>
    </row>
    <row r="165">
      <c r="A165" s="1"/>
      <c r="L165" s="2"/>
    </row>
    <row r="166">
      <c r="A166" s="1"/>
      <c r="L166" s="2"/>
    </row>
    <row r="167">
      <c r="A167" s="1"/>
      <c r="L167" s="2"/>
    </row>
    <row r="168">
      <c r="A168" s="1"/>
      <c r="L168" s="2"/>
    </row>
    <row r="169">
      <c r="A169" s="1"/>
      <c r="L169" s="2"/>
    </row>
    <row r="170">
      <c r="A170" s="1"/>
      <c r="L170" s="2"/>
    </row>
    <row r="171">
      <c r="A171" s="1"/>
      <c r="L171" s="2"/>
    </row>
    <row r="172">
      <c r="A172" s="1"/>
      <c r="L172" s="2"/>
    </row>
    <row r="173">
      <c r="A173" s="1"/>
      <c r="L173" s="2"/>
    </row>
    <row r="174">
      <c r="A174" s="1"/>
      <c r="L174" s="2"/>
    </row>
    <row r="175">
      <c r="A175" s="1"/>
      <c r="L175" s="2"/>
    </row>
    <row r="176">
      <c r="A176" s="1"/>
      <c r="L176" s="2"/>
    </row>
    <row r="177">
      <c r="A177" s="1"/>
      <c r="L177" s="2"/>
    </row>
    <row r="178">
      <c r="A178" s="1"/>
      <c r="L178" s="2"/>
    </row>
    <row r="179">
      <c r="A179" s="1"/>
      <c r="L179" s="2"/>
    </row>
    <row r="180">
      <c r="A180" s="1"/>
      <c r="L180" s="2"/>
    </row>
    <row r="181">
      <c r="A181" s="1"/>
      <c r="L181" s="2"/>
    </row>
    <row r="182">
      <c r="A182" s="1"/>
      <c r="L182" s="2"/>
    </row>
    <row r="183">
      <c r="A183" s="1"/>
      <c r="L183" s="2"/>
    </row>
    <row r="184">
      <c r="A184" s="1"/>
      <c r="L184" s="2"/>
    </row>
    <row r="185">
      <c r="A185" s="1"/>
      <c r="L185" s="2"/>
    </row>
    <row r="186">
      <c r="A186" s="1"/>
      <c r="L186" s="2"/>
    </row>
    <row r="187">
      <c r="A187" s="1"/>
      <c r="L187" s="2"/>
    </row>
    <row r="188">
      <c r="A188" s="1"/>
      <c r="L188" s="2"/>
    </row>
    <row r="189">
      <c r="A189" s="1"/>
      <c r="L189" s="2"/>
    </row>
    <row r="190">
      <c r="A190" s="1"/>
      <c r="L190" s="2"/>
    </row>
    <row r="191">
      <c r="A191" s="1"/>
      <c r="L191" s="2"/>
    </row>
    <row r="192">
      <c r="A192" s="1"/>
      <c r="L192" s="2"/>
    </row>
    <row r="193">
      <c r="A193" s="1"/>
      <c r="L193" s="2"/>
    </row>
    <row r="194">
      <c r="A194" s="1"/>
      <c r="L194" s="2"/>
    </row>
    <row r="195">
      <c r="A195" s="1"/>
      <c r="L195" s="2"/>
    </row>
    <row r="196">
      <c r="A196" s="1"/>
      <c r="L196" s="2"/>
    </row>
    <row r="197">
      <c r="A197" s="1"/>
      <c r="L197" s="2"/>
    </row>
    <row r="198">
      <c r="A198" s="1"/>
      <c r="L198" s="2"/>
    </row>
    <row r="199">
      <c r="A199" s="1"/>
      <c r="L199" s="2"/>
    </row>
    <row r="200">
      <c r="A200" s="1"/>
      <c r="L200" s="2"/>
    </row>
    <row r="201">
      <c r="A201" s="1"/>
      <c r="L201" s="2"/>
    </row>
    <row r="202">
      <c r="A202" s="1"/>
      <c r="L202" s="2"/>
    </row>
    <row r="203">
      <c r="A203" s="1"/>
      <c r="L203" s="2"/>
    </row>
    <row r="204">
      <c r="A204" s="1"/>
      <c r="L204" s="2"/>
    </row>
    <row r="205">
      <c r="A205" s="1"/>
      <c r="L205" s="2"/>
    </row>
    <row r="206">
      <c r="A206" s="1"/>
      <c r="L206" s="2"/>
    </row>
    <row r="207">
      <c r="A207" s="1"/>
      <c r="L207" s="2"/>
    </row>
    <row r="208">
      <c r="A208" s="1"/>
      <c r="L208" s="2"/>
    </row>
    <row r="209">
      <c r="A209" s="1"/>
      <c r="L209" s="2"/>
    </row>
    <row r="210">
      <c r="A210" s="1"/>
      <c r="L210" s="2"/>
    </row>
    <row r="211">
      <c r="A211" s="1"/>
      <c r="L211" s="2"/>
    </row>
    <row r="212">
      <c r="A212" s="1"/>
      <c r="L212" s="2"/>
    </row>
    <row r="213">
      <c r="A213" s="1"/>
      <c r="L213" s="2"/>
    </row>
    <row r="214">
      <c r="A214" s="1"/>
      <c r="L214" s="2"/>
    </row>
    <row r="215">
      <c r="A215" s="1"/>
      <c r="L215" s="2"/>
    </row>
    <row r="216">
      <c r="A216" s="1"/>
      <c r="L216" s="2"/>
    </row>
    <row r="217">
      <c r="A217" s="1"/>
      <c r="L217" s="2"/>
    </row>
    <row r="218">
      <c r="A218" s="1"/>
      <c r="L218" s="2"/>
    </row>
    <row r="219">
      <c r="A219" s="1"/>
      <c r="L219" s="2"/>
    </row>
    <row r="220">
      <c r="A220" s="1"/>
      <c r="L220" s="2"/>
    </row>
    <row r="221">
      <c r="A221" s="1"/>
      <c r="L221" s="2"/>
    </row>
    <row r="222">
      <c r="A222" s="1"/>
      <c r="L222" s="2"/>
    </row>
    <row r="223">
      <c r="A223" s="1"/>
      <c r="L223" s="2"/>
    </row>
    <row r="224">
      <c r="A224" s="1"/>
      <c r="L224" s="2"/>
    </row>
    <row r="225">
      <c r="A225" s="1"/>
      <c r="L225" s="2"/>
    </row>
    <row r="226">
      <c r="A226" s="1"/>
      <c r="L226" s="2"/>
    </row>
    <row r="227">
      <c r="A227" s="1"/>
      <c r="L227" s="2"/>
    </row>
    <row r="228">
      <c r="A228" s="1"/>
      <c r="L228" s="2"/>
    </row>
    <row r="229">
      <c r="A229" s="1"/>
      <c r="L229" s="2"/>
    </row>
    <row r="230">
      <c r="A230" s="1"/>
      <c r="L230" s="2"/>
    </row>
    <row r="231">
      <c r="A231" s="1"/>
      <c r="L231" s="2"/>
    </row>
    <row r="232">
      <c r="A232" s="1"/>
      <c r="L232" s="2"/>
    </row>
    <row r="233">
      <c r="A233" s="1"/>
      <c r="L233" s="2"/>
    </row>
    <row r="234">
      <c r="A234" s="1"/>
      <c r="L234" s="2"/>
    </row>
    <row r="235">
      <c r="A235" s="1"/>
      <c r="L235" s="2"/>
    </row>
    <row r="236">
      <c r="A236" s="1"/>
      <c r="L236" s="2"/>
    </row>
    <row r="237">
      <c r="A237" s="1"/>
      <c r="L237" s="2"/>
    </row>
    <row r="238">
      <c r="A238" s="1"/>
      <c r="L238" s="2"/>
    </row>
    <row r="239">
      <c r="A239" s="1"/>
      <c r="L239" s="2"/>
    </row>
    <row r="240">
      <c r="A240" s="1"/>
      <c r="L240" s="2"/>
    </row>
    <row r="241">
      <c r="A241" s="1"/>
      <c r="L241" s="2"/>
    </row>
    <row r="242">
      <c r="A242" s="1"/>
      <c r="L242" s="2"/>
    </row>
    <row r="243">
      <c r="A243" s="1"/>
      <c r="L243" s="2"/>
    </row>
    <row r="244">
      <c r="A244" s="1"/>
      <c r="L244" s="2"/>
    </row>
    <row r="245">
      <c r="A245" s="1"/>
      <c r="L245" s="2"/>
    </row>
    <row r="246">
      <c r="A246" s="1"/>
      <c r="L246" s="2"/>
    </row>
    <row r="247">
      <c r="A247" s="1"/>
      <c r="L247" s="2"/>
    </row>
    <row r="248">
      <c r="A248" s="1"/>
      <c r="L248" s="2"/>
    </row>
    <row r="249">
      <c r="A249" s="1"/>
      <c r="L249" s="2"/>
    </row>
    <row r="250">
      <c r="A250" s="1"/>
      <c r="L250" s="2"/>
    </row>
    <row r="251">
      <c r="A251" s="1"/>
      <c r="L251" s="2"/>
    </row>
    <row r="252">
      <c r="A252" s="1"/>
      <c r="L252" s="2"/>
    </row>
    <row r="253">
      <c r="A253" s="1"/>
      <c r="L253" s="2"/>
    </row>
    <row r="254">
      <c r="A254" s="1"/>
      <c r="L254" s="2"/>
    </row>
    <row r="255">
      <c r="A255" s="1"/>
      <c r="L255" s="2"/>
    </row>
    <row r="256">
      <c r="A256" s="1"/>
      <c r="L256" s="2"/>
    </row>
    <row r="257">
      <c r="A257" s="1"/>
      <c r="L257" s="2"/>
    </row>
    <row r="258">
      <c r="A258" s="1"/>
      <c r="L258" s="2"/>
    </row>
    <row r="259">
      <c r="A259" s="1"/>
      <c r="L259" s="2"/>
    </row>
    <row r="260">
      <c r="A260" s="1"/>
      <c r="L260" s="2"/>
    </row>
    <row r="261">
      <c r="A261" s="1"/>
      <c r="L261" s="2"/>
    </row>
    <row r="262">
      <c r="A262" s="1"/>
      <c r="L262" s="2"/>
    </row>
    <row r="263">
      <c r="A263" s="1"/>
      <c r="L263" s="2"/>
    </row>
    <row r="264">
      <c r="A264" s="1"/>
      <c r="L264" s="2"/>
    </row>
    <row r="265">
      <c r="A265" s="1"/>
      <c r="L265" s="2"/>
    </row>
    <row r="266">
      <c r="A266" s="1"/>
      <c r="L266" s="2"/>
    </row>
    <row r="267">
      <c r="A267" s="1"/>
      <c r="L267" s="2"/>
    </row>
    <row r="268">
      <c r="A268" s="1"/>
      <c r="L268" s="2"/>
    </row>
    <row r="269">
      <c r="A269" s="1"/>
      <c r="L269" s="2"/>
    </row>
    <row r="270">
      <c r="A270" s="1"/>
      <c r="L270" s="2"/>
    </row>
    <row r="271">
      <c r="A271" s="1"/>
      <c r="L271" s="2"/>
    </row>
    <row r="272">
      <c r="A272" s="1"/>
      <c r="L272" s="2"/>
    </row>
    <row r="273">
      <c r="A273" s="1"/>
      <c r="L273" s="2"/>
    </row>
    <row r="274">
      <c r="A274" s="1"/>
      <c r="L274" s="2"/>
    </row>
    <row r="275">
      <c r="A275" s="1"/>
      <c r="L275" s="2"/>
    </row>
    <row r="276">
      <c r="A276" s="1"/>
      <c r="L276" s="2"/>
    </row>
    <row r="277">
      <c r="A277" s="1"/>
      <c r="L277" s="2"/>
    </row>
    <row r="278">
      <c r="A278" s="1"/>
      <c r="L278" s="2"/>
    </row>
    <row r="279">
      <c r="A279" s="1"/>
      <c r="L279" s="2"/>
    </row>
    <row r="280">
      <c r="A280" s="1"/>
      <c r="L280" s="2"/>
    </row>
    <row r="281">
      <c r="A281" s="1"/>
      <c r="L281" s="2"/>
    </row>
    <row r="282">
      <c r="A282" s="1"/>
      <c r="L282" s="2"/>
    </row>
    <row r="283">
      <c r="A283" s="1"/>
      <c r="L283" s="2"/>
    </row>
    <row r="284">
      <c r="A284" s="1"/>
      <c r="L284" s="2"/>
    </row>
    <row r="285">
      <c r="A285" s="1"/>
      <c r="L285" s="2"/>
    </row>
    <row r="286">
      <c r="A286" s="1"/>
      <c r="L286" s="2"/>
    </row>
    <row r="287">
      <c r="A287" s="1"/>
      <c r="L287" s="2"/>
    </row>
    <row r="288">
      <c r="A288" s="1"/>
      <c r="L288" s="2"/>
    </row>
    <row r="289">
      <c r="A289" s="1"/>
      <c r="L289" s="2"/>
    </row>
    <row r="290">
      <c r="A290" s="1"/>
      <c r="L290" s="2"/>
    </row>
    <row r="291">
      <c r="A291" s="1"/>
      <c r="L291" s="2"/>
    </row>
    <row r="292">
      <c r="A292" s="1"/>
      <c r="L292" s="2"/>
    </row>
    <row r="293">
      <c r="A293" s="1"/>
      <c r="L293" s="2"/>
    </row>
    <row r="294">
      <c r="A294" s="1"/>
      <c r="L294" s="2"/>
    </row>
    <row r="295">
      <c r="A295" s="1"/>
      <c r="L295" s="2"/>
    </row>
    <row r="296">
      <c r="A296" s="1"/>
      <c r="L296" s="2"/>
    </row>
    <row r="297">
      <c r="A297" s="1"/>
      <c r="L297" s="2"/>
    </row>
    <row r="298">
      <c r="A298" s="1"/>
      <c r="L298" s="2"/>
    </row>
    <row r="299">
      <c r="A299" s="1"/>
      <c r="L299" s="2"/>
    </row>
    <row r="300">
      <c r="A300" s="1"/>
      <c r="L300" s="2"/>
    </row>
    <row r="301">
      <c r="A301" s="1"/>
      <c r="L301" s="2"/>
    </row>
    <row r="302">
      <c r="A302" s="1"/>
      <c r="L302" s="2"/>
    </row>
    <row r="303">
      <c r="A303" s="1"/>
      <c r="L303" s="2"/>
    </row>
    <row r="304">
      <c r="A304" s="1"/>
      <c r="L304" s="2"/>
    </row>
    <row r="305">
      <c r="A305" s="1"/>
      <c r="L305" s="2"/>
    </row>
    <row r="306">
      <c r="A306" s="1"/>
      <c r="L306" s="2"/>
    </row>
    <row r="307">
      <c r="A307" s="1"/>
      <c r="L307" s="2"/>
    </row>
    <row r="308">
      <c r="A308" s="1"/>
      <c r="L308" s="2"/>
    </row>
    <row r="309">
      <c r="A309" s="1"/>
      <c r="L309" s="2"/>
    </row>
    <row r="310">
      <c r="A310" s="1"/>
      <c r="L310" s="2"/>
    </row>
    <row r="311">
      <c r="A311" s="1"/>
      <c r="L311" s="2"/>
    </row>
    <row r="312">
      <c r="A312" s="1"/>
      <c r="L312" s="2"/>
    </row>
    <row r="313">
      <c r="A313" s="1"/>
      <c r="L313" s="2"/>
    </row>
    <row r="314">
      <c r="A314" s="1"/>
      <c r="L314" s="2"/>
    </row>
    <row r="315">
      <c r="A315" s="1"/>
      <c r="L315" s="2"/>
    </row>
    <row r="316">
      <c r="A316" s="1"/>
      <c r="L316" s="2"/>
    </row>
    <row r="317">
      <c r="A317" s="1"/>
      <c r="L317" s="2"/>
    </row>
    <row r="318">
      <c r="A318" s="1"/>
      <c r="L318" s="2"/>
    </row>
    <row r="319">
      <c r="A319" s="1"/>
      <c r="L319" s="2"/>
    </row>
    <row r="320">
      <c r="A320" s="1"/>
      <c r="L320" s="2"/>
    </row>
    <row r="321">
      <c r="A321" s="1"/>
      <c r="L321" s="2"/>
    </row>
    <row r="322">
      <c r="A322" s="1"/>
      <c r="L322" s="2"/>
    </row>
    <row r="323">
      <c r="A323" s="1"/>
      <c r="L323" s="2"/>
    </row>
    <row r="324">
      <c r="A324" s="1"/>
      <c r="L324" s="2"/>
    </row>
    <row r="325">
      <c r="A325" s="1"/>
      <c r="L325" s="2"/>
    </row>
    <row r="326">
      <c r="A326" s="1"/>
      <c r="L326" s="2"/>
    </row>
    <row r="327">
      <c r="A327" s="1"/>
      <c r="L327" s="2"/>
    </row>
    <row r="328">
      <c r="A328" s="1"/>
      <c r="L328" s="2"/>
    </row>
    <row r="329">
      <c r="A329" s="1"/>
      <c r="L329" s="2"/>
    </row>
    <row r="330">
      <c r="A330" s="1"/>
      <c r="L330" s="2"/>
    </row>
    <row r="331">
      <c r="A331" s="1"/>
      <c r="L331" s="2"/>
    </row>
    <row r="332">
      <c r="A332" s="1"/>
      <c r="L332" s="2"/>
    </row>
    <row r="333">
      <c r="A333" s="1"/>
      <c r="L333" s="2"/>
    </row>
    <row r="334">
      <c r="A334" s="1"/>
      <c r="L334" s="2"/>
    </row>
    <row r="335">
      <c r="A335" s="1"/>
      <c r="L335" s="2"/>
    </row>
    <row r="336">
      <c r="A336" s="1"/>
      <c r="L336" s="2"/>
    </row>
    <row r="337">
      <c r="A337" s="1"/>
      <c r="L337" s="2"/>
    </row>
    <row r="338">
      <c r="A338" s="1"/>
      <c r="L338" s="2"/>
    </row>
    <row r="339">
      <c r="A339" s="1"/>
      <c r="L339" s="2"/>
    </row>
    <row r="340">
      <c r="A340" s="1"/>
      <c r="L340" s="2"/>
    </row>
    <row r="341">
      <c r="A341" s="1"/>
      <c r="L341" s="2"/>
    </row>
    <row r="342">
      <c r="A342" s="1"/>
      <c r="L342" s="2"/>
    </row>
    <row r="343">
      <c r="A343" s="1"/>
      <c r="L343" s="2"/>
    </row>
    <row r="344">
      <c r="A344" s="1"/>
      <c r="L344" s="2"/>
    </row>
    <row r="345">
      <c r="A345" s="1"/>
      <c r="L345" s="2"/>
    </row>
    <row r="346">
      <c r="A346" s="1"/>
      <c r="L346" s="2"/>
    </row>
    <row r="347">
      <c r="A347" s="1"/>
      <c r="L347" s="2"/>
    </row>
    <row r="348">
      <c r="A348" s="1"/>
      <c r="L348" s="2"/>
    </row>
    <row r="349">
      <c r="A349" s="1"/>
      <c r="L349" s="2"/>
    </row>
    <row r="350">
      <c r="A350" s="1"/>
      <c r="L350" s="2"/>
    </row>
    <row r="351">
      <c r="A351" s="1"/>
      <c r="L351" s="2"/>
    </row>
    <row r="352">
      <c r="A352" s="1"/>
      <c r="L352" s="2"/>
    </row>
    <row r="353">
      <c r="A353" s="1"/>
      <c r="L353" s="2"/>
    </row>
    <row r="354">
      <c r="A354" s="1"/>
      <c r="L354" s="2"/>
    </row>
    <row r="355">
      <c r="A355" s="1"/>
      <c r="L355" s="2"/>
    </row>
    <row r="356">
      <c r="A356" s="1"/>
      <c r="L356" s="2"/>
    </row>
    <row r="357">
      <c r="A357" s="1"/>
      <c r="L357" s="2"/>
    </row>
    <row r="358">
      <c r="A358" s="1"/>
      <c r="L358" s="2"/>
    </row>
    <row r="359">
      <c r="A359" s="1"/>
      <c r="L359" s="2"/>
    </row>
    <row r="360">
      <c r="A360" s="1"/>
      <c r="L360" s="2"/>
    </row>
    <row r="361">
      <c r="A361" s="1"/>
      <c r="L361" s="2"/>
    </row>
    <row r="362">
      <c r="A362" s="1"/>
      <c r="L362" s="2"/>
    </row>
    <row r="363">
      <c r="A363" s="1"/>
      <c r="L363" s="2"/>
    </row>
    <row r="364">
      <c r="A364" s="1"/>
      <c r="L364" s="2"/>
    </row>
    <row r="365">
      <c r="A365" s="1"/>
      <c r="L365" s="2"/>
    </row>
    <row r="366">
      <c r="A366" s="1"/>
      <c r="L366" s="2"/>
    </row>
    <row r="367">
      <c r="A367" s="1"/>
      <c r="L367" s="2"/>
    </row>
    <row r="368">
      <c r="A368" s="1"/>
      <c r="L368" s="2"/>
    </row>
    <row r="369">
      <c r="A369" s="1"/>
      <c r="L369" s="2"/>
    </row>
    <row r="370">
      <c r="A370" s="1"/>
      <c r="L370" s="2"/>
    </row>
    <row r="371">
      <c r="A371" s="1"/>
      <c r="L371" s="2"/>
    </row>
    <row r="372">
      <c r="A372" s="1"/>
      <c r="L372" s="2"/>
    </row>
    <row r="373">
      <c r="A373" s="1"/>
      <c r="L373" s="2"/>
    </row>
    <row r="374">
      <c r="A374" s="1"/>
      <c r="L374" s="2"/>
    </row>
    <row r="375">
      <c r="A375" s="1"/>
      <c r="L375" s="2"/>
    </row>
    <row r="376">
      <c r="A376" s="1"/>
      <c r="L376" s="2"/>
    </row>
    <row r="377">
      <c r="A377" s="1"/>
      <c r="L377" s="2"/>
    </row>
    <row r="378">
      <c r="A378" s="1"/>
      <c r="L378" s="2"/>
    </row>
    <row r="379">
      <c r="A379" s="1"/>
      <c r="L379" s="2"/>
    </row>
    <row r="380">
      <c r="A380" s="1"/>
      <c r="L380" s="2"/>
    </row>
    <row r="381">
      <c r="A381" s="1"/>
      <c r="L381" s="2"/>
    </row>
    <row r="382">
      <c r="A382" s="1"/>
      <c r="L382" s="2"/>
    </row>
    <row r="383">
      <c r="A383" s="1"/>
      <c r="L383" s="2"/>
    </row>
    <row r="384">
      <c r="A384" s="1"/>
      <c r="L384" s="2"/>
    </row>
    <row r="385">
      <c r="A385" s="1"/>
      <c r="L385" s="2"/>
    </row>
    <row r="386">
      <c r="A386" s="1"/>
      <c r="L386" s="2"/>
    </row>
    <row r="387">
      <c r="A387" s="1"/>
      <c r="L387" s="2"/>
    </row>
    <row r="388">
      <c r="A388" s="1"/>
      <c r="L388" s="2"/>
    </row>
    <row r="389">
      <c r="A389" s="1"/>
      <c r="L389" s="2"/>
    </row>
    <row r="390">
      <c r="A390" s="1"/>
      <c r="L390" s="2"/>
    </row>
    <row r="391">
      <c r="A391" s="1"/>
      <c r="L391" s="2"/>
    </row>
    <row r="392">
      <c r="A392" s="1"/>
      <c r="L392" s="2"/>
    </row>
    <row r="393">
      <c r="A393" s="1"/>
      <c r="L393" s="2"/>
    </row>
    <row r="394">
      <c r="A394" s="1"/>
      <c r="L394" s="2"/>
    </row>
    <row r="395">
      <c r="A395" s="1"/>
      <c r="L395" s="2"/>
    </row>
    <row r="396">
      <c r="A396" s="1"/>
      <c r="L396" s="2"/>
    </row>
    <row r="397">
      <c r="A397" s="1"/>
      <c r="L397" s="2"/>
    </row>
    <row r="398">
      <c r="A398" s="1"/>
      <c r="L398" s="2"/>
    </row>
    <row r="399">
      <c r="A399" s="1"/>
      <c r="L399" s="2"/>
    </row>
    <row r="400">
      <c r="A400" s="1"/>
      <c r="L400" s="2"/>
    </row>
    <row r="401">
      <c r="A401" s="1"/>
      <c r="L401" s="2"/>
    </row>
    <row r="402">
      <c r="A402" s="1"/>
      <c r="L402" s="2"/>
    </row>
    <row r="403">
      <c r="A403" s="1"/>
      <c r="L403" s="2"/>
    </row>
    <row r="404">
      <c r="A404" s="1"/>
      <c r="L404" s="2"/>
    </row>
    <row r="405">
      <c r="A405" s="1"/>
      <c r="L405" s="2"/>
    </row>
    <row r="406">
      <c r="A406" s="1"/>
      <c r="L406" s="2"/>
    </row>
    <row r="407">
      <c r="A407" s="1"/>
      <c r="L407" s="2"/>
    </row>
    <row r="408">
      <c r="A408" s="1"/>
      <c r="L408" s="2"/>
    </row>
    <row r="409">
      <c r="A409" s="1"/>
      <c r="L409" s="2"/>
    </row>
    <row r="410">
      <c r="A410" s="1"/>
      <c r="L410" s="2"/>
    </row>
    <row r="411">
      <c r="A411" s="1"/>
      <c r="L411" s="2"/>
    </row>
    <row r="412">
      <c r="A412" s="1"/>
      <c r="L412" s="2"/>
    </row>
    <row r="413">
      <c r="A413" s="1"/>
      <c r="L413" s="2"/>
    </row>
    <row r="414">
      <c r="A414" s="1"/>
      <c r="L414" s="2"/>
    </row>
    <row r="415">
      <c r="A415" s="1"/>
      <c r="L415" s="2"/>
    </row>
    <row r="416">
      <c r="A416" s="1"/>
      <c r="L416" s="2"/>
    </row>
    <row r="417">
      <c r="A417" s="1"/>
      <c r="L417" s="2"/>
    </row>
    <row r="418">
      <c r="A418" s="1"/>
      <c r="L418" s="2"/>
    </row>
    <row r="419">
      <c r="A419" s="1"/>
      <c r="L419" s="2"/>
    </row>
    <row r="420">
      <c r="A420" s="1"/>
      <c r="L420" s="2"/>
    </row>
    <row r="421">
      <c r="A421" s="1"/>
      <c r="L421" s="2"/>
    </row>
    <row r="422">
      <c r="A422" s="1"/>
      <c r="L422" s="2"/>
    </row>
    <row r="423">
      <c r="A423" s="1"/>
      <c r="L423" s="2"/>
    </row>
    <row r="424">
      <c r="A424" s="1"/>
      <c r="L424" s="2"/>
    </row>
    <row r="425">
      <c r="A425" s="1"/>
      <c r="L425" s="2"/>
    </row>
    <row r="426">
      <c r="A426" s="1"/>
      <c r="L426" s="2"/>
    </row>
    <row r="427">
      <c r="A427" s="1"/>
      <c r="L427" s="2"/>
    </row>
    <row r="428">
      <c r="A428" s="1"/>
      <c r="L428" s="2"/>
    </row>
    <row r="429">
      <c r="A429" s="1"/>
      <c r="L429" s="2"/>
    </row>
    <row r="430">
      <c r="A430" s="1"/>
      <c r="L430" s="2"/>
    </row>
    <row r="431">
      <c r="A431" s="1"/>
      <c r="L431" s="2"/>
    </row>
    <row r="432">
      <c r="A432" s="1"/>
      <c r="L432" s="2"/>
    </row>
    <row r="433">
      <c r="A433" s="1"/>
      <c r="L433" s="2"/>
    </row>
    <row r="434">
      <c r="A434" s="1"/>
      <c r="L434" s="2"/>
    </row>
    <row r="435">
      <c r="A435" s="1"/>
      <c r="L435" s="2"/>
    </row>
    <row r="436">
      <c r="A436" s="1"/>
      <c r="L436" s="2"/>
    </row>
    <row r="437">
      <c r="A437" s="1"/>
      <c r="L437" s="2"/>
    </row>
    <row r="438">
      <c r="A438" s="1"/>
      <c r="L438" s="2"/>
    </row>
    <row r="439">
      <c r="A439" s="1"/>
      <c r="L439" s="2"/>
    </row>
    <row r="440">
      <c r="A440" s="1"/>
      <c r="L440" s="2"/>
    </row>
    <row r="441">
      <c r="A441" s="1"/>
      <c r="L441" s="2"/>
    </row>
    <row r="442">
      <c r="A442" s="1"/>
      <c r="L442" s="2"/>
    </row>
    <row r="443">
      <c r="A443" s="1"/>
      <c r="L443" s="2"/>
    </row>
    <row r="444">
      <c r="A444" s="1"/>
      <c r="L444" s="2"/>
    </row>
    <row r="445">
      <c r="A445" s="1"/>
      <c r="L445" s="2"/>
    </row>
    <row r="446">
      <c r="A446" s="1"/>
      <c r="L446" s="2"/>
    </row>
    <row r="447">
      <c r="A447" s="1"/>
      <c r="L447" s="2"/>
    </row>
    <row r="448">
      <c r="A448" s="1"/>
      <c r="L448" s="2"/>
    </row>
    <row r="449">
      <c r="A449" s="1"/>
      <c r="L449" s="2"/>
    </row>
    <row r="450">
      <c r="A450" s="1"/>
      <c r="L450" s="2"/>
    </row>
    <row r="451">
      <c r="A451" s="1"/>
      <c r="L451" s="2"/>
    </row>
    <row r="452">
      <c r="A452" s="1"/>
      <c r="L452" s="2"/>
    </row>
    <row r="453">
      <c r="A453" s="1"/>
      <c r="L453" s="2"/>
    </row>
    <row r="454">
      <c r="A454" s="1"/>
      <c r="L454" s="2"/>
    </row>
    <row r="455">
      <c r="A455" s="1"/>
      <c r="L455" s="2"/>
    </row>
    <row r="456">
      <c r="A456" s="1"/>
      <c r="L456" s="2"/>
    </row>
    <row r="457">
      <c r="A457" s="1"/>
      <c r="L457" s="2"/>
    </row>
    <row r="458">
      <c r="A458" s="1"/>
      <c r="L458" s="2"/>
    </row>
    <row r="459">
      <c r="A459" s="1"/>
      <c r="L459" s="2"/>
    </row>
    <row r="460">
      <c r="A460" s="1"/>
      <c r="L460" s="2"/>
    </row>
    <row r="461">
      <c r="A461" s="1"/>
      <c r="L461" s="2"/>
    </row>
    <row r="462">
      <c r="A462" s="1"/>
      <c r="L462" s="2"/>
    </row>
    <row r="463">
      <c r="A463" s="1"/>
      <c r="L463" s="2"/>
    </row>
    <row r="464">
      <c r="A464" s="1"/>
      <c r="L464" s="2"/>
    </row>
    <row r="465">
      <c r="A465" s="1"/>
      <c r="L465" s="2"/>
    </row>
    <row r="466">
      <c r="A466" s="1"/>
      <c r="L466" s="2"/>
    </row>
    <row r="467">
      <c r="A467" s="1"/>
      <c r="L467" s="2"/>
    </row>
    <row r="468">
      <c r="A468" s="1"/>
      <c r="L468" s="2"/>
    </row>
    <row r="469">
      <c r="A469" s="1"/>
      <c r="L469" s="2"/>
    </row>
    <row r="470">
      <c r="A470" s="1"/>
      <c r="L470" s="2"/>
    </row>
    <row r="471">
      <c r="A471" s="1"/>
      <c r="L471" s="2"/>
    </row>
    <row r="472">
      <c r="A472" s="1"/>
      <c r="L472" s="2"/>
    </row>
    <row r="473">
      <c r="A473" s="1"/>
      <c r="L473" s="2"/>
    </row>
    <row r="474">
      <c r="A474" s="1"/>
      <c r="L474" s="2"/>
    </row>
    <row r="475">
      <c r="A475" s="1"/>
      <c r="L475" s="2"/>
    </row>
    <row r="476">
      <c r="A476" s="1"/>
      <c r="L476" s="2"/>
    </row>
    <row r="477">
      <c r="A477" s="1"/>
      <c r="L477" s="2"/>
    </row>
    <row r="478">
      <c r="A478" s="1"/>
      <c r="L478" s="2"/>
    </row>
    <row r="479">
      <c r="A479" s="1"/>
      <c r="L479" s="2"/>
    </row>
    <row r="480">
      <c r="A480" s="1"/>
      <c r="L480" s="2"/>
    </row>
    <row r="481">
      <c r="A481" s="1"/>
      <c r="L481" s="2"/>
    </row>
    <row r="482">
      <c r="A482" s="1"/>
      <c r="L482" s="2"/>
    </row>
    <row r="483">
      <c r="A483" s="1"/>
      <c r="L483" s="2"/>
    </row>
    <row r="484">
      <c r="A484" s="1"/>
      <c r="L484" s="2"/>
    </row>
    <row r="485">
      <c r="A485" s="1"/>
      <c r="L485" s="2"/>
    </row>
    <row r="486">
      <c r="A486" s="1"/>
      <c r="L486" s="2"/>
    </row>
    <row r="487">
      <c r="A487" s="1"/>
      <c r="L487" s="2"/>
    </row>
    <row r="488">
      <c r="A488" s="1"/>
      <c r="L488" s="2"/>
    </row>
    <row r="489">
      <c r="A489" s="1"/>
      <c r="L489" s="2"/>
    </row>
    <row r="490">
      <c r="A490" s="1"/>
      <c r="L490" s="2"/>
    </row>
    <row r="491">
      <c r="A491" s="1"/>
      <c r="L491" s="2"/>
    </row>
    <row r="492">
      <c r="A492" s="1"/>
      <c r="L492" s="2"/>
    </row>
    <row r="493">
      <c r="A493" s="1"/>
      <c r="L493" s="2"/>
    </row>
    <row r="494">
      <c r="A494" s="1"/>
      <c r="L494" s="2"/>
    </row>
    <row r="495">
      <c r="A495" s="1"/>
      <c r="L495" s="2"/>
    </row>
    <row r="496">
      <c r="A496" s="1"/>
      <c r="L496" s="2"/>
    </row>
    <row r="497">
      <c r="A497" s="1"/>
      <c r="L497" s="2"/>
    </row>
    <row r="498">
      <c r="A498" s="1"/>
      <c r="L498" s="2"/>
    </row>
    <row r="499">
      <c r="A499" s="1"/>
      <c r="L499" s="2"/>
    </row>
    <row r="500">
      <c r="A500" s="1"/>
      <c r="L500" s="2"/>
    </row>
    <row r="501">
      <c r="A501" s="1"/>
      <c r="L501" s="2"/>
    </row>
    <row r="502">
      <c r="A502" s="1"/>
      <c r="L502" s="2"/>
    </row>
    <row r="503">
      <c r="A503" s="1"/>
      <c r="L503" s="2"/>
    </row>
    <row r="504">
      <c r="A504" s="1"/>
      <c r="L504" s="2"/>
    </row>
    <row r="505">
      <c r="A505" s="1"/>
      <c r="L505" s="2"/>
    </row>
    <row r="506">
      <c r="A506" s="1"/>
      <c r="L506" s="2"/>
    </row>
    <row r="507">
      <c r="A507" s="1"/>
      <c r="L507" s="2"/>
    </row>
    <row r="508">
      <c r="A508" s="1"/>
      <c r="L508" s="2"/>
    </row>
    <row r="509">
      <c r="A509" s="1"/>
      <c r="L509" s="2"/>
    </row>
    <row r="510">
      <c r="A510" s="1"/>
      <c r="L510" s="2"/>
    </row>
    <row r="511">
      <c r="A511" s="1"/>
      <c r="L511" s="2"/>
    </row>
    <row r="512">
      <c r="A512" s="1"/>
      <c r="L512" s="2"/>
    </row>
    <row r="513">
      <c r="A513" s="1"/>
      <c r="L513" s="2"/>
    </row>
    <row r="514">
      <c r="A514" s="1"/>
      <c r="L514" s="2"/>
    </row>
    <row r="515">
      <c r="A515" s="1"/>
      <c r="L515" s="2"/>
    </row>
    <row r="516">
      <c r="A516" s="1"/>
      <c r="L516" s="2"/>
    </row>
    <row r="517">
      <c r="A517" s="1"/>
      <c r="L517" s="2"/>
    </row>
    <row r="518">
      <c r="A518" s="1"/>
      <c r="L518" s="2"/>
    </row>
    <row r="519">
      <c r="A519" s="1"/>
      <c r="L519" s="2"/>
    </row>
    <row r="520">
      <c r="A520" s="1"/>
      <c r="L520" s="2"/>
    </row>
    <row r="521">
      <c r="A521" s="1"/>
      <c r="L521" s="2"/>
    </row>
    <row r="522">
      <c r="A522" s="1"/>
      <c r="L522" s="2"/>
    </row>
    <row r="523">
      <c r="A523" s="1"/>
      <c r="L523" s="2"/>
    </row>
    <row r="524">
      <c r="A524" s="1"/>
      <c r="L524" s="2"/>
    </row>
    <row r="525">
      <c r="A525" s="1"/>
      <c r="L525" s="2"/>
    </row>
    <row r="526">
      <c r="A526" s="1"/>
      <c r="L526" s="2"/>
    </row>
    <row r="527">
      <c r="A527" s="1"/>
      <c r="L527" s="2"/>
    </row>
    <row r="528">
      <c r="A528" s="1"/>
      <c r="L528" s="2"/>
    </row>
    <row r="529">
      <c r="A529" s="1"/>
      <c r="L529" s="2"/>
    </row>
    <row r="530">
      <c r="A530" s="1"/>
      <c r="L530" s="2"/>
    </row>
    <row r="531">
      <c r="A531" s="1"/>
      <c r="L531" s="2"/>
    </row>
    <row r="532">
      <c r="A532" s="1"/>
      <c r="L532" s="2"/>
    </row>
    <row r="533">
      <c r="A533" s="1"/>
      <c r="L533" s="2"/>
    </row>
    <row r="534">
      <c r="A534" s="1"/>
      <c r="L534" s="2"/>
    </row>
    <row r="535">
      <c r="A535" s="1"/>
      <c r="L535" s="2"/>
    </row>
    <row r="536">
      <c r="A536" s="1"/>
      <c r="L536" s="2"/>
    </row>
    <row r="537">
      <c r="A537" s="1"/>
      <c r="L537" s="2"/>
    </row>
    <row r="538">
      <c r="A538" s="1"/>
      <c r="L538" s="2"/>
    </row>
    <row r="539">
      <c r="A539" s="1"/>
      <c r="L539" s="2"/>
    </row>
    <row r="540">
      <c r="A540" s="1"/>
      <c r="L540" s="2"/>
    </row>
    <row r="541">
      <c r="A541" s="1"/>
      <c r="L541" s="2"/>
    </row>
    <row r="542">
      <c r="A542" s="1"/>
      <c r="L542" s="2"/>
    </row>
    <row r="543">
      <c r="A543" s="1"/>
      <c r="L543" s="2"/>
    </row>
    <row r="544">
      <c r="A544" s="1"/>
      <c r="L544" s="2"/>
    </row>
    <row r="545">
      <c r="A545" s="1"/>
      <c r="L545" s="2"/>
    </row>
    <row r="546">
      <c r="A546" s="1"/>
      <c r="L546" s="2"/>
    </row>
    <row r="547">
      <c r="A547" s="1"/>
      <c r="L547" s="2"/>
    </row>
    <row r="548">
      <c r="A548" s="1"/>
      <c r="L548" s="2"/>
    </row>
    <row r="549">
      <c r="A549" s="1"/>
      <c r="L549" s="2"/>
    </row>
    <row r="550">
      <c r="A550" s="1"/>
      <c r="L550" s="2"/>
    </row>
    <row r="551">
      <c r="A551" s="1"/>
      <c r="L551" s="2"/>
    </row>
    <row r="552">
      <c r="A552" s="1"/>
      <c r="L552" s="2"/>
    </row>
    <row r="553">
      <c r="A553" s="1"/>
      <c r="L553" s="2"/>
    </row>
    <row r="554">
      <c r="A554" s="1"/>
      <c r="L554" s="2"/>
    </row>
    <row r="555">
      <c r="A555" s="1"/>
      <c r="L555" s="2"/>
    </row>
    <row r="556">
      <c r="A556" s="1"/>
      <c r="L556" s="2"/>
    </row>
    <row r="557">
      <c r="A557" s="1"/>
      <c r="L557" s="2"/>
    </row>
    <row r="558">
      <c r="A558" s="1"/>
      <c r="L558" s="2"/>
    </row>
    <row r="559">
      <c r="A559" s="1"/>
      <c r="L559" s="2"/>
    </row>
    <row r="560">
      <c r="A560" s="1"/>
      <c r="L560" s="2"/>
    </row>
    <row r="561">
      <c r="A561" s="1"/>
      <c r="L561" s="2"/>
    </row>
    <row r="562">
      <c r="A562" s="1"/>
      <c r="L562" s="2"/>
    </row>
    <row r="563">
      <c r="A563" s="1"/>
      <c r="L563" s="2"/>
    </row>
    <row r="564">
      <c r="A564" s="1"/>
      <c r="L564" s="2"/>
    </row>
    <row r="565">
      <c r="A565" s="1"/>
      <c r="L565" s="2"/>
    </row>
    <row r="566">
      <c r="A566" s="1"/>
      <c r="L566" s="2"/>
    </row>
    <row r="567">
      <c r="A567" s="1"/>
      <c r="L567" s="2"/>
    </row>
    <row r="568">
      <c r="A568" s="1"/>
      <c r="L568" s="2"/>
    </row>
    <row r="569">
      <c r="A569" s="1"/>
      <c r="L569" s="2"/>
    </row>
    <row r="570">
      <c r="A570" s="1"/>
      <c r="L570" s="2"/>
    </row>
    <row r="571">
      <c r="A571" s="1"/>
      <c r="L571" s="2"/>
    </row>
    <row r="572">
      <c r="A572" s="1"/>
      <c r="L572" s="2"/>
    </row>
    <row r="573">
      <c r="A573" s="1"/>
      <c r="L573" s="2"/>
    </row>
    <row r="574">
      <c r="A574" s="1"/>
      <c r="L574" s="2"/>
    </row>
    <row r="575">
      <c r="A575" s="1"/>
      <c r="L575" s="2"/>
    </row>
    <row r="576">
      <c r="A576" s="1"/>
      <c r="L576" s="2"/>
    </row>
    <row r="577">
      <c r="A577" s="1"/>
      <c r="L577" s="2"/>
    </row>
    <row r="578">
      <c r="A578" s="1"/>
      <c r="L578" s="2"/>
    </row>
    <row r="579">
      <c r="A579" s="1"/>
      <c r="L579" s="2"/>
    </row>
    <row r="580">
      <c r="A580" s="1"/>
      <c r="L580" s="2"/>
    </row>
    <row r="581">
      <c r="A581" s="1"/>
      <c r="L581" s="2"/>
    </row>
    <row r="582">
      <c r="A582" s="1"/>
      <c r="L582" s="2"/>
    </row>
    <row r="583">
      <c r="A583" s="1"/>
      <c r="L583" s="2"/>
    </row>
    <row r="584">
      <c r="A584" s="1"/>
      <c r="L584" s="2"/>
    </row>
    <row r="585">
      <c r="A585" s="1"/>
      <c r="L585" s="2"/>
    </row>
    <row r="586">
      <c r="A586" s="1"/>
      <c r="L586" s="2"/>
    </row>
    <row r="587">
      <c r="A587" s="1"/>
      <c r="L587" s="2"/>
    </row>
    <row r="588">
      <c r="A588" s="1"/>
      <c r="L588" s="2"/>
    </row>
    <row r="589">
      <c r="A589" s="1"/>
      <c r="L589" s="2"/>
    </row>
    <row r="590">
      <c r="A590" s="1"/>
      <c r="L590" s="2"/>
    </row>
    <row r="591">
      <c r="A591" s="1"/>
      <c r="L591" s="2"/>
    </row>
    <row r="592">
      <c r="A592" s="1"/>
      <c r="L592" s="2"/>
    </row>
    <row r="593">
      <c r="A593" s="1"/>
      <c r="L593" s="2"/>
    </row>
    <row r="594">
      <c r="A594" s="1"/>
      <c r="L594" s="2"/>
    </row>
    <row r="595">
      <c r="A595" s="1"/>
      <c r="L595" s="2"/>
    </row>
    <row r="596">
      <c r="A596" s="1"/>
      <c r="L596" s="2"/>
    </row>
    <row r="597">
      <c r="A597" s="1"/>
      <c r="L597" s="2"/>
    </row>
    <row r="598">
      <c r="A598" s="1"/>
      <c r="L598" s="2"/>
    </row>
    <row r="599">
      <c r="A599" s="1"/>
      <c r="L599" s="2"/>
    </row>
    <row r="600">
      <c r="A600" s="1"/>
      <c r="L600" s="2"/>
    </row>
    <row r="601">
      <c r="A601" s="1"/>
      <c r="L601" s="2"/>
    </row>
    <row r="602">
      <c r="A602" s="1"/>
      <c r="L602" s="2"/>
    </row>
    <row r="603">
      <c r="A603" s="1"/>
      <c r="L603" s="2"/>
    </row>
    <row r="604">
      <c r="A604" s="1"/>
      <c r="L604" s="2"/>
    </row>
    <row r="605">
      <c r="A605" s="1"/>
      <c r="L605" s="2"/>
    </row>
    <row r="606">
      <c r="A606" s="1"/>
      <c r="L606" s="2"/>
    </row>
    <row r="607">
      <c r="A607" s="1"/>
      <c r="L607" s="2"/>
    </row>
    <row r="608">
      <c r="A608" s="1"/>
      <c r="L608" s="2"/>
    </row>
    <row r="609">
      <c r="A609" s="1"/>
      <c r="L609" s="2"/>
    </row>
    <row r="610">
      <c r="A610" s="1"/>
      <c r="L610" s="2"/>
    </row>
    <row r="611">
      <c r="A611" s="1"/>
      <c r="L611" s="2"/>
    </row>
    <row r="612">
      <c r="A612" s="1"/>
      <c r="L612" s="2"/>
    </row>
    <row r="613">
      <c r="A613" s="1"/>
      <c r="L613" s="2"/>
    </row>
    <row r="614">
      <c r="A614" s="1"/>
      <c r="L614" s="2"/>
    </row>
    <row r="615">
      <c r="A615" s="1"/>
      <c r="L615" s="2"/>
    </row>
    <row r="616">
      <c r="A616" s="1"/>
      <c r="L616" s="2"/>
    </row>
    <row r="617">
      <c r="A617" s="1"/>
      <c r="L617" s="2"/>
    </row>
    <row r="618">
      <c r="A618" s="1"/>
      <c r="L618" s="2"/>
    </row>
    <row r="619">
      <c r="A619" s="1"/>
      <c r="L619" s="2"/>
    </row>
    <row r="620">
      <c r="A620" s="1"/>
      <c r="L620" s="2"/>
    </row>
    <row r="621">
      <c r="A621" s="1"/>
      <c r="L621" s="2"/>
    </row>
    <row r="622">
      <c r="A622" s="1"/>
      <c r="L622" s="2"/>
    </row>
    <row r="623">
      <c r="A623" s="1"/>
      <c r="L623" s="2"/>
    </row>
    <row r="624">
      <c r="A624" s="1"/>
      <c r="L624" s="2"/>
    </row>
    <row r="625">
      <c r="A625" s="1"/>
      <c r="L625" s="2"/>
    </row>
    <row r="626">
      <c r="A626" s="1"/>
      <c r="L626" s="2"/>
    </row>
    <row r="627">
      <c r="A627" s="1"/>
      <c r="L627" s="2"/>
    </row>
    <row r="628">
      <c r="A628" s="1"/>
      <c r="L628" s="2"/>
    </row>
    <row r="629">
      <c r="A629" s="1"/>
      <c r="L629" s="2"/>
    </row>
    <row r="630">
      <c r="A630" s="1"/>
      <c r="L630" s="2"/>
    </row>
    <row r="631">
      <c r="A631" s="1"/>
      <c r="L631" s="2"/>
    </row>
    <row r="632">
      <c r="A632" s="1"/>
      <c r="L632" s="2"/>
    </row>
    <row r="633">
      <c r="A633" s="1"/>
      <c r="L633" s="2"/>
    </row>
    <row r="634">
      <c r="A634" s="1"/>
      <c r="L634" s="2"/>
    </row>
    <row r="635">
      <c r="A635" s="1"/>
      <c r="L635" s="2"/>
    </row>
    <row r="636">
      <c r="A636" s="1"/>
      <c r="L636" s="2"/>
    </row>
    <row r="637">
      <c r="A637" s="1"/>
      <c r="L637" s="2"/>
    </row>
    <row r="638">
      <c r="A638" s="1"/>
      <c r="L638" s="2"/>
    </row>
    <row r="639">
      <c r="A639" s="1"/>
      <c r="L639" s="2"/>
    </row>
    <row r="640">
      <c r="A640" s="1"/>
      <c r="L640" s="2"/>
    </row>
    <row r="641">
      <c r="A641" s="1"/>
      <c r="L641" s="2"/>
    </row>
    <row r="642">
      <c r="A642" s="1"/>
      <c r="L642" s="2"/>
    </row>
    <row r="643">
      <c r="A643" s="1"/>
      <c r="L643" s="2"/>
    </row>
    <row r="644">
      <c r="A644" s="1"/>
      <c r="L644" s="2"/>
    </row>
    <row r="645">
      <c r="A645" s="1"/>
      <c r="L645" s="2"/>
    </row>
    <row r="646">
      <c r="A646" s="1"/>
      <c r="L646" s="2"/>
    </row>
    <row r="647">
      <c r="A647" s="1"/>
      <c r="L647" s="2"/>
    </row>
    <row r="648">
      <c r="A648" s="1"/>
      <c r="L648" s="2"/>
    </row>
    <row r="649">
      <c r="A649" s="1"/>
      <c r="L649" s="2"/>
    </row>
    <row r="650">
      <c r="A650" s="1"/>
      <c r="L650" s="2"/>
    </row>
    <row r="651">
      <c r="A651" s="1"/>
      <c r="L651" s="2"/>
    </row>
    <row r="652">
      <c r="A652" s="1"/>
      <c r="L652" s="2"/>
    </row>
    <row r="653">
      <c r="A653" s="1"/>
      <c r="L653" s="2"/>
    </row>
    <row r="654">
      <c r="A654" s="1"/>
      <c r="L654" s="2"/>
    </row>
    <row r="655">
      <c r="A655" s="1"/>
      <c r="L655" s="2"/>
    </row>
    <row r="656">
      <c r="A656" s="1"/>
      <c r="L656" s="2"/>
    </row>
    <row r="657">
      <c r="A657" s="1"/>
      <c r="L657" s="2"/>
    </row>
    <row r="658">
      <c r="A658" s="1"/>
      <c r="L658" s="2"/>
    </row>
    <row r="659">
      <c r="A659" s="1"/>
      <c r="L659" s="2"/>
    </row>
    <row r="660">
      <c r="A660" s="1"/>
      <c r="L660" s="2"/>
    </row>
    <row r="661">
      <c r="A661" s="1"/>
      <c r="L661" s="2"/>
    </row>
    <row r="662">
      <c r="A662" s="1"/>
      <c r="L662" s="2"/>
    </row>
    <row r="663">
      <c r="A663" s="1"/>
      <c r="L663" s="2"/>
    </row>
    <row r="664">
      <c r="A664" s="1"/>
      <c r="L664" s="2"/>
    </row>
    <row r="665">
      <c r="A665" s="1"/>
      <c r="L665" s="2"/>
    </row>
    <row r="666">
      <c r="A666" s="1"/>
      <c r="L666" s="2"/>
    </row>
    <row r="667">
      <c r="A667" s="1"/>
      <c r="L667" s="2"/>
    </row>
    <row r="668">
      <c r="A668" s="1"/>
      <c r="L668" s="2"/>
    </row>
    <row r="669">
      <c r="A669" s="1"/>
      <c r="L669" s="2"/>
    </row>
    <row r="670">
      <c r="A670" s="1"/>
      <c r="L670" s="2"/>
    </row>
    <row r="671">
      <c r="A671" s="1"/>
      <c r="L671" s="2"/>
    </row>
    <row r="672">
      <c r="A672" s="1"/>
      <c r="L672" s="2"/>
    </row>
    <row r="673">
      <c r="A673" s="1"/>
      <c r="L673" s="2"/>
    </row>
    <row r="674">
      <c r="A674" s="1"/>
      <c r="L674" s="2"/>
    </row>
    <row r="675">
      <c r="A675" s="1"/>
      <c r="L675" s="2"/>
    </row>
    <row r="676">
      <c r="A676" s="1"/>
      <c r="L676" s="2"/>
    </row>
    <row r="677">
      <c r="A677" s="1"/>
      <c r="L677" s="2"/>
    </row>
    <row r="678">
      <c r="A678" s="1"/>
      <c r="L678" s="2"/>
    </row>
    <row r="679">
      <c r="A679" s="1"/>
      <c r="L679" s="2"/>
    </row>
    <row r="680">
      <c r="A680" s="1"/>
      <c r="L680" s="2"/>
    </row>
    <row r="681">
      <c r="A681" s="1"/>
      <c r="L681" s="2"/>
    </row>
    <row r="682">
      <c r="A682" s="1"/>
      <c r="L682" s="2"/>
    </row>
    <row r="683">
      <c r="A683" s="1"/>
      <c r="L683" s="2"/>
    </row>
    <row r="684">
      <c r="A684" s="1"/>
      <c r="L684" s="2"/>
    </row>
    <row r="685">
      <c r="A685" s="1"/>
      <c r="L685" s="2"/>
    </row>
    <row r="686">
      <c r="A686" s="1"/>
      <c r="L686" s="2"/>
    </row>
    <row r="687">
      <c r="A687" s="1"/>
      <c r="L687" s="2"/>
    </row>
    <row r="688">
      <c r="A688" s="1"/>
      <c r="L688" s="2"/>
    </row>
    <row r="689">
      <c r="A689" s="1"/>
      <c r="L689" s="2"/>
    </row>
    <row r="690">
      <c r="A690" s="1"/>
      <c r="L690" s="2"/>
    </row>
    <row r="691">
      <c r="A691" s="1"/>
      <c r="L691" s="2"/>
    </row>
    <row r="692">
      <c r="A692" s="1"/>
      <c r="L692" s="2"/>
    </row>
    <row r="693">
      <c r="A693" s="1"/>
      <c r="L693" s="2"/>
    </row>
    <row r="694">
      <c r="A694" s="1"/>
      <c r="L694" s="2"/>
    </row>
    <row r="695">
      <c r="A695" s="1"/>
      <c r="L695" s="2"/>
    </row>
    <row r="696">
      <c r="A696" s="1"/>
      <c r="L696" s="2"/>
    </row>
    <row r="697">
      <c r="A697" s="1"/>
      <c r="L697" s="2"/>
    </row>
    <row r="698">
      <c r="A698" s="1"/>
      <c r="L698" s="2"/>
    </row>
    <row r="699">
      <c r="A699" s="1"/>
      <c r="L699" s="2"/>
    </row>
    <row r="700">
      <c r="A700" s="1"/>
      <c r="L700" s="2"/>
    </row>
    <row r="701">
      <c r="A701" s="1"/>
      <c r="L701" s="2"/>
    </row>
    <row r="702">
      <c r="A702" s="1"/>
      <c r="L702" s="2"/>
    </row>
    <row r="703">
      <c r="A703" s="1"/>
      <c r="L703" s="2"/>
    </row>
    <row r="704">
      <c r="A704" s="1"/>
      <c r="L704" s="2"/>
    </row>
    <row r="705">
      <c r="A705" s="1"/>
      <c r="L705" s="2"/>
    </row>
    <row r="706">
      <c r="A706" s="1"/>
      <c r="L706" s="2"/>
    </row>
    <row r="707">
      <c r="A707" s="1"/>
      <c r="L707" s="2"/>
    </row>
    <row r="708">
      <c r="A708" s="1"/>
      <c r="L708" s="2"/>
    </row>
    <row r="709">
      <c r="A709" s="1"/>
      <c r="L709" s="2"/>
    </row>
    <row r="710">
      <c r="A710" s="1"/>
      <c r="L710" s="2"/>
    </row>
    <row r="711">
      <c r="A711" s="1"/>
      <c r="L711" s="2"/>
    </row>
    <row r="712">
      <c r="A712" s="1"/>
      <c r="L712" s="2"/>
    </row>
    <row r="713">
      <c r="A713" s="1"/>
      <c r="L713" s="2"/>
    </row>
    <row r="714">
      <c r="A714" s="1"/>
      <c r="L714" s="2"/>
    </row>
    <row r="715">
      <c r="A715" s="1"/>
      <c r="L715" s="2"/>
    </row>
    <row r="716">
      <c r="A716" s="1"/>
      <c r="L716" s="2"/>
    </row>
    <row r="717">
      <c r="A717" s="1"/>
      <c r="L717" s="2"/>
    </row>
    <row r="718">
      <c r="A718" s="1"/>
      <c r="L718" s="2"/>
    </row>
    <row r="719">
      <c r="A719" s="1"/>
      <c r="L719" s="2"/>
    </row>
    <row r="720">
      <c r="A720" s="1"/>
      <c r="L720" s="2"/>
    </row>
    <row r="721">
      <c r="A721" s="1"/>
      <c r="L721" s="2"/>
    </row>
    <row r="722">
      <c r="A722" s="1"/>
      <c r="L722" s="2"/>
    </row>
    <row r="723">
      <c r="A723" s="1"/>
      <c r="L723" s="2"/>
    </row>
    <row r="724">
      <c r="A724" s="1"/>
      <c r="L724" s="2"/>
    </row>
    <row r="725">
      <c r="A725" s="1"/>
      <c r="L725" s="2"/>
    </row>
    <row r="726">
      <c r="A726" s="1"/>
      <c r="L726" s="2"/>
    </row>
    <row r="727">
      <c r="A727" s="1"/>
      <c r="L727" s="2"/>
    </row>
    <row r="728">
      <c r="A728" s="1"/>
      <c r="L728" s="2"/>
    </row>
    <row r="729">
      <c r="A729" s="1"/>
      <c r="L729" s="2"/>
    </row>
    <row r="730">
      <c r="A730" s="1"/>
      <c r="L730" s="2"/>
    </row>
    <row r="731">
      <c r="A731" s="1"/>
      <c r="L731" s="2"/>
    </row>
    <row r="732">
      <c r="A732" s="1"/>
      <c r="L732" s="2"/>
    </row>
    <row r="733">
      <c r="A733" s="1"/>
      <c r="L733" s="2"/>
    </row>
    <row r="734">
      <c r="A734" s="1"/>
      <c r="L734" s="2"/>
    </row>
    <row r="735">
      <c r="A735" s="1"/>
      <c r="L735" s="2"/>
    </row>
    <row r="736">
      <c r="A736" s="1"/>
      <c r="L736" s="2"/>
    </row>
    <row r="737">
      <c r="A737" s="1"/>
      <c r="L737" s="2"/>
    </row>
    <row r="738">
      <c r="A738" s="1"/>
      <c r="L738" s="2"/>
    </row>
    <row r="739">
      <c r="A739" s="1"/>
      <c r="L739" s="2"/>
    </row>
    <row r="740">
      <c r="A740" s="1"/>
      <c r="L740" s="2"/>
    </row>
    <row r="741">
      <c r="A741" s="1"/>
      <c r="L741" s="2"/>
    </row>
    <row r="742">
      <c r="A742" s="1"/>
      <c r="L742" s="2"/>
    </row>
    <row r="743">
      <c r="A743" s="1"/>
      <c r="L743" s="2"/>
    </row>
    <row r="744">
      <c r="A744" s="1"/>
      <c r="L744" s="2"/>
    </row>
    <row r="745">
      <c r="A745" s="1"/>
      <c r="L745" s="2"/>
    </row>
    <row r="746">
      <c r="A746" s="1"/>
      <c r="L746" s="2"/>
    </row>
    <row r="747">
      <c r="A747" s="1"/>
      <c r="L747" s="2"/>
    </row>
    <row r="748">
      <c r="A748" s="1"/>
      <c r="L748" s="2"/>
    </row>
    <row r="749">
      <c r="A749" s="1"/>
      <c r="L749" s="2"/>
    </row>
    <row r="750">
      <c r="A750" s="1"/>
      <c r="L750" s="2"/>
    </row>
    <row r="751">
      <c r="A751" s="1"/>
      <c r="L751" s="2"/>
    </row>
    <row r="752">
      <c r="A752" s="1"/>
      <c r="L752" s="2"/>
    </row>
    <row r="753">
      <c r="A753" s="1"/>
      <c r="L753" s="2"/>
    </row>
    <row r="754">
      <c r="A754" s="1"/>
      <c r="L754" s="2"/>
    </row>
    <row r="755">
      <c r="A755" s="1"/>
      <c r="L755" s="2"/>
    </row>
    <row r="756">
      <c r="A756" s="1"/>
      <c r="L756" s="2"/>
    </row>
    <row r="757">
      <c r="A757" s="1"/>
      <c r="L757" s="2"/>
    </row>
    <row r="758">
      <c r="A758" s="1"/>
      <c r="L758" s="2"/>
    </row>
    <row r="759">
      <c r="A759" s="1"/>
      <c r="L759" s="2"/>
    </row>
    <row r="760">
      <c r="A760" s="1"/>
      <c r="L760" s="2"/>
    </row>
    <row r="761">
      <c r="A761" s="1"/>
      <c r="L761" s="2"/>
    </row>
    <row r="762">
      <c r="A762" s="1"/>
      <c r="L762" s="2"/>
    </row>
    <row r="763">
      <c r="A763" s="1"/>
      <c r="L763" s="2"/>
    </row>
    <row r="764">
      <c r="A764" s="1"/>
      <c r="L764" s="2"/>
    </row>
    <row r="765">
      <c r="A765" s="1"/>
      <c r="L765" s="2"/>
    </row>
    <row r="766">
      <c r="A766" s="1"/>
      <c r="L766" s="2"/>
    </row>
    <row r="767">
      <c r="A767" s="1"/>
      <c r="L767" s="2"/>
    </row>
    <row r="768">
      <c r="A768" s="1"/>
      <c r="L768" s="2"/>
    </row>
    <row r="769">
      <c r="A769" s="1"/>
      <c r="L769" s="2"/>
    </row>
    <row r="770">
      <c r="A770" s="1"/>
      <c r="L770" s="2"/>
    </row>
    <row r="771">
      <c r="A771" s="1"/>
      <c r="L771" s="2"/>
    </row>
    <row r="772">
      <c r="A772" s="1"/>
      <c r="L772" s="2"/>
    </row>
    <row r="773">
      <c r="A773" s="1"/>
      <c r="L773" s="2"/>
    </row>
    <row r="774">
      <c r="A774" s="1"/>
      <c r="L774" s="2"/>
    </row>
    <row r="775">
      <c r="A775" s="1"/>
      <c r="L775" s="2"/>
    </row>
    <row r="776">
      <c r="A776" s="1"/>
      <c r="L776" s="2"/>
    </row>
    <row r="777">
      <c r="A777" s="1"/>
      <c r="L777" s="2"/>
    </row>
    <row r="778">
      <c r="A778" s="1"/>
      <c r="L778" s="2"/>
    </row>
    <row r="779">
      <c r="A779" s="1"/>
      <c r="L779" s="2"/>
    </row>
    <row r="780">
      <c r="A780" s="1"/>
      <c r="L780" s="2"/>
    </row>
    <row r="781">
      <c r="A781" s="1"/>
      <c r="L781" s="2"/>
    </row>
    <row r="782">
      <c r="A782" s="1"/>
      <c r="L782" s="2"/>
    </row>
    <row r="783">
      <c r="A783" s="1"/>
      <c r="L783" s="2"/>
    </row>
    <row r="784">
      <c r="A784" s="1"/>
      <c r="L784" s="2"/>
    </row>
    <row r="785">
      <c r="A785" s="1"/>
      <c r="L785" s="2"/>
    </row>
    <row r="786">
      <c r="A786" s="1"/>
      <c r="L786" s="2"/>
    </row>
    <row r="787">
      <c r="A787" s="1"/>
      <c r="L787" s="2"/>
    </row>
    <row r="788">
      <c r="A788" s="1"/>
      <c r="L788" s="2"/>
    </row>
    <row r="789">
      <c r="A789" s="1"/>
      <c r="L789" s="2"/>
    </row>
    <row r="790">
      <c r="A790" s="1"/>
      <c r="L790" s="2"/>
    </row>
    <row r="791">
      <c r="A791" s="1"/>
      <c r="L791" s="2"/>
    </row>
    <row r="792">
      <c r="A792" s="1"/>
      <c r="L792" s="2"/>
    </row>
    <row r="793">
      <c r="A793" s="1"/>
      <c r="L793" s="2"/>
    </row>
    <row r="794">
      <c r="A794" s="1"/>
      <c r="L794" s="2"/>
    </row>
    <row r="795">
      <c r="A795" s="1"/>
      <c r="L795" s="2"/>
    </row>
    <row r="796">
      <c r="A796" s="1"/>
      <c r="L796" s="2"/>
    </row>
    <row r="797">
      <c r="A797" s="1"/>
      <c r="L797" s="2"/>
    </row>
    <row r="798">
      <c r="A798" s="1"/>
      <c r="L798" s="2"/>
    </row>
    <row r="799">
      <c r="A799" s="1"/>
      <c r="L799" s="2"/>
    </row>
    <row r="800">
      <c r="A800" s="1"/>
      <c r="L800" s="2"/>
    </row>
    <row r="801">
      <c r="A801" s="1"/>
      <c r="L801" s="2"/>
    </row>
    <row r="802">
      <c r="A802" s="1"/>
      <c r="L802" s="2"/>
    </row>
    <row r="803">
      <c r="A803" s="1"/>
      <c r="L803" s="2"/>
    </row>
    <row r="804">
      <c r="A804" s="1"/>
      <c r="L804" s="2"/>
    </row>
    <row r="805">
      <c r="A805" s="1"/>
      <c r="L805" s="2"/>
    </row>
    <row r="806">
      <c r="A806" s="1"/>
      <c r="L806" s="2"/>
    </row>
    <row r="807">
      <c r="A807" s="1"/>
      <c r="L807" s="2"/>
    </row>
    <row r="808">
      <c r="A808" s="1"/>
      <c r="L808" s="2"/>
    </row>
    <row r="809">
      <c r="A809" s="1"/>
      <c r="L809" s="2"/>
    </row>
    <row r="810">
      <c r="A810" s="1"/>
      <c r="L810" s="2"/>
    </row>
    <row r="811">
      <c r="A811" s="1"/>
      <c r="L811" s="2"/>
    </row>
    <row r="812">
      <c r="A812" s="1"/>
      <c r="L812" s="2"/>
    </row>
    <row r="813">
      <c r="A813" s="1"/>
      <c r="L813" s="2"/>
    </row>
    <row r="814">
      <c r="A814" s="1"/>
      <c r="L814" s="2"/>
    </row>
    <row r="815">
      <c r="A815" s="1"/>
      <c r="L815" s="2"/>
    </row>
    <row r="816">
      <c r="A816" s="1"/>
      <c r="L816" s="2"/>
    </row>
    <row r="817">
      <c r="A817" s="1"/>
      <c r="L817" s="2"/>
    </row>
    <row r="818">
      <c r="A818" s="1"/>
      <c r="L818" s="2"/>
    </row>
    <row r="819">
      <c r="A819" s="1"/>
      <c r="L819" s="2"/>
    </row>
    <row r="820">
      <c r="A820" s="1"/>
      <c r="L820" s="2"/>
    </row>
    <row r="821">
      <c r="A821" s="1"/>
      <c r="L821" s="2"/>
    </row>
    <row r="822">
      <c r="A822" s="1"/>
      <c r="L822" s="2"/>
    </row>
    <row r="823">
      <c r="A823" s="1"/>
      <c r="L823" s="2"/>
    </row>
    <row r="824">
      <c r="A824" s="1"/>
      <c r="L824" s="2"/>
    </row>
    <row r="825">
      <c r="A825" s="1"/>
      <c r="L825" s="2"/>
    </row>
    <row r="826">
      <c r="A826" s="1"/>
      <c r="L826" s="2"/>
    </row>
    <row r="827">
      <c r="A827" s="1"/>
      <c r="L827" s="2"/>
    </row>
    <row r="828">
      <c r="A828" s="1"/>
      <c r="L828" s="2"/>
    </row>
    <row r="829">
      <c r="A829" s="1"/>
      <c r="L829" s="2"/>
    </row>
    <row r="830">
      <c r="A830" s="1"/>
      <c r="L830" s="2"/>
    </row>
    <row r="831">
      <c r="A831" s="1"/>
      <c r="L831" s="2"/>
    </row>
    <row r="832">
      <c r="A832" s="1"/>
      <c r="L832" s="2"/>
    </row>
    <row r="833">
      <c r="A833" s="1"/>
      <c r="L833" s="2"/>
    </row>
    <row r="834">
      <c r="A834" s="1"/>
      <c r="L834" s="2"/>
    </row>
    <row r="835">
      <c r="A835" s="1"/>
      <c r="L835" s="2"/>
    </row>
    <row r="836">
      <c r="A836" s="1"/>
      <c r="L836" s="2"/>
    </row>
    <row r="837">
      <c r="A837" s="1"/>
      <c r="L837" s="2"/>
    </row>
    <row r="838">
      <c r="A838" s="1"/>
      <c r="L838" s="2"/>
    </row>
    <row r="839">
      <c r="A839" s="1"/>
      <c r="L839" s="2"/>
    </row>
    <row r="840">
      <c r="A840" s="1"/>
      <c r="L840" s="2"/>
    </row>
    <row r="841">
      <c r="A841" s="1"/>
      <c r="L841" s="2"/>
    </row>
    <row r="842">
      <c r="A842" s="1"/>
      <c r="L842" s="2"/>
    </row>
    <row r="843">
      <c r="A843" s="1"/>
      <c r="L843" s="2"/>
    </row>
    <row r="844">
      <c r="A844" s="1"/>
      <c r="L844" s="2"/>
    </row>
    <row r="845">
      <c r="A845" s="1"/>
      <c r="L845" s="2"/>
    </row>
    <row r="846">
      <c r="A846" s="1"/>
      <c r="L846" s="2"/>
    </row>
    <row r="847">
      <c r="A847" s="1"/>
      <c r="L847" s="2"/>
    </row>
    <row r="848">
      <c r="A848" s="1"/>
      <c r="L848" s="2"/>
    </row>
    <row r="849">
      <c r="A849" s="1"/>
      <c r="L849" s="2"/>
    </row>
    <row r="850">
      <c r="A850" s="1"/>
      <c r="L850" s="2"/>
    </row>
    <row r="851">
      <c r="A851" s="1"/>
      <c r="L851" s="2"/>
    </row>
    <row r="852">
      <c r="A852" s="1"/>
      <c r="L852" s="2"/>
    </row>
    <row r="853">
      <c r="A853" s="1"/>
      <c r="L853" s="2"/>
    </row>
    <row r="854">
      <c r="A854" s="1"/>
      <c r="L854" s="2"/>
    </row>
    <row r="855">
      <c r="A855" s="1"/>
      <c r="L855" s="2"/>
    </row>
    <row r="856">
      <c r="A856" s="1"/>
      <c r="L856" s="2"/>
    </row>
    <row r="857">
      <c r="A857" s="1"/>
      <c r="L857" s="2"/>
    </row>
    <row r="858">
      <c r="A858" s="1"/>
      <c r="L858" s="2"/>
    </row>
    <row r="859">
      <c r="A859" s="1"/>
      <c r="L859" s="2"/>
    </row>
    <row r="860">
      <c r="A860" s="1"/>
      <c r="L860" s="2"/>
    </row>
    <row r="861">
      <c r="A861" s="1"/>
      <c r="L861" s="2"/>
    </row>
    <row r="862">
      <c r="A862" s="1"/>
      <c r="L862" s="2"/>
    </row>
    <row r="863">
      <c r="A863" s="1"/>
      <c r="L863" s="2"/>
    </row>
    <row r="864">
      <c r="A864" s="1"/>
      <c r="L864" s="2"/>
    </row>
    <row r="865">
      <c r="A865" s="1"/>
      <c r="L865" s="2"/>
    </row>
    <row r="866">
      <c r="A866" s="1"/>
      <c r="L866" s="2"/>
    </row>
    <row r="867">
      <c r="A867" s="1"/>
      <c r="L867" s="2"/>
    </row>
    <row r="868">
      <c r="A868" s="1"/>
      <c r="L868" s="2"/>
    </row>
    <row r="869">
      <c r="A869" s="1"/>
      <c r="L869" s="2"/>
    </row>
    <row r="870">
      <c r="A870" s="1"/>
      <c r="L870" s="2"/>
    </row>
    <row r="871">
      <c r="A871" s="1"/>
      <c r="L871" s="2"/>
    </row>
    <row r="872">
      <c r="A872" s="1"/>
      <c r="L872" s="2"/>
    </row>
    <row r="873">
      <c r="A873" s="1"/>
      <c r="L873" s="2"/>
    </row>
    <row r="874">
      <c r="A874" s="1"/>
      <c r="L874" s="2"/>
    </row>
    <row r="875">
      <c r="A875" s="1"/>
      <c r="L875" s="2"/>
    </row>
    <row r="876">
      <c r="A876" s="1"/>
      <c r="L876" s="2"/>
    </row>
    <row r="877">
      <c r="A877" s="1"/>
      <c r="L877" s="2"/>
    </row>
    <row r="878">
      <c r="A878" s="1"/>
      <c r="L878" s="2"/>
    </row>
    <row r="879">
      <c r="A879" s="1"/>
      <c r="L879" s="2"/>
    </row>
    <row r="880">
      <c r="A880" s="1"/>
      <c r="L880" s="2"/>
    </row>
    <row r="881">
      <c r="A881" s="1"/>
      <c r="L881" s="2"/>
    </row>
    <row r="882">
      <c r="A882" s="1"/>
      <c r="L882" s="2"/>
    </row>
    <row r="883">
      <c r="A883" s="1"/>
      <c r="L883" s="2"/>
    </row>
    <row r="884">
      <c r="A884" s="1"/>
      <c r="L884" s="2"/>
    </row>
    <row r="885">
      <c r="A885" s="1"/>
      <c r="L885" s="2"/>
    </row>
    <row r="886">
      <c r="A886" s="1"/>
      <c r="L886" s="2"/>
    </row>
    <row r="887">
      <c r="A887" s="1"/>
      <c r="L887" s="2"/>
    </row>
    <row r="888">
      <c r="A888" s="1"/>
      <c r="L888" s="2"/>
    </row>
    <row r="889">
      <c r="A889" s="1"/>
      <c r="L889" s="2"/>
    </row>
    <row r="890">
      <c r="A890" s="1"/>
      <c r="L890" s="2"/>
    </row>
    <row r="891">
      <c r="A891" s="1"/>
      <c r="L891" s="2"/>
    </row>
    <row r="892">
      <c r="A892" s="1"/>
      <c r="L892" s="2"/>
    </row>
    <row r="893">
      <c r="A893" s="1"/>
      <c r="L893" s="2"/>
    </row>
    <row r="894">
      <c r="A894" s="1"/>
      <c r="L894" s="2"/>
    </row>
    <row r="895">
      <c r="A895" s="1"/>
      <c r="L895" s="2"/>
    </row>
    <row r="896">
      <c r="A896" s="1"/>
      <c r="L896" s="2"/>
    </row>
    <row r="897">
      <c r="A897" s="1"/>
      <c r="L897" s="2"/>
    </row>
    <row r="898">
      <c r="A898" s="1"/>
      <c r="L898" s="2"/>
    </row>
    <row r="899">
      <c r="A899" s="1"/>
      <c r="L899" s="2"/>
    </row>
    <row r="900">
      <c r="A900" s="1"/>
      <c r="L900" s="2"/>
    </row>
    <row r="901">
      <c r="A901" s="1"/>
      <c r="L901" s="2"/>
    </row>
    <row r="902">
      <c r="A902" s="1"/>
      <c r="L902" s="2"/>
    </row>
    <row r="903">
      <c r="A903" s="1"/>
      <c r="L903" s="2"/>
    </row>
    <row r="904">
      <c r="A904" s="1"/>
      <c r="L904" s="2"/>
    </row>
    <row r="905">
      <c r="A905" s="1"/>
      <c r="L905" s="2"/>
    </row>
    <row r="906">
      <c r="A906" s="1"/>
      <c r="L906" s="2"/>
    </row>
    <row r="907">
      <c r="A907" s="1"/>
      <c r="L907" s="2"/>
    </row>
    <row r="908">
      <c r="A908" s="1"/>
      <c r="L908" s="2"/>
    </row>
    <row r="909">
      <c r="A909" s="1"/>
      <c r="L909" s="2"/>
    </row>
    <row r="910">
      <c r="A910" s="1"/>
      <c r="L910" s="2"/>
    </row>
    <row r="911">
      <c r="A911" s="1"/>
      <c r="L911" s="2"/>
    </row>
    <row r="912">
      <c r="A912" s="1"/>
      <c r="L912" s="2"/>
    </row>
    <row r="913">
      <c r="A913" s="1"/>
      <c r="L913" s="2"/>
    </row>
    <row r="914">
      <c r="A914" s="1"/>
      <c r="L914" s="2"/>
    </row>
    <row r="915">
      <c r="A915" s="1"/>
      <c r="L915" s="2"/>
    </row>
    <row r="916">
      <c r="A916" s="1"/>
      <c r="L916" s="2"/>
    </row>
    <row r="917">
      <c r="A917" s="1"/>
      <c r="L917" s="2"/>
    </row>
    <row r="918">
      <c r="A918" s="1"/>
      <c r="L918" s="2"/>
    </row>
    <row r="919">
      <c r="A919" s="1"/>
      <c r="L919" s="2"/>
    </row>
    <row r="920">
      <c r="A920" s="1"/>
      <c r="L920" s="2"/>
    </row>
    <row r="921">
      <c r="A921" s="1"/>
      <c r="L921" s="2"/>
    </row>
    <row r="922">
      <c r="A922" s="1"/>
      <c r="L922" s="2"/>
    </row>
    <row r="923">
      <c r="A923" s="1"/>
      <c r="L923" s="2"/>
    </row>
    <row r="924">
      <c r="A924" s="1"/>
      <c r="L924" s="2"/>
    </row>
    <row r="925">
      <c r="A925" s="1"/>
      <c r="L925" s="2"/>
    </row>
    <row r="926">
      <c r="A926" s="1"/>
      <c r="L926" s="2"/>
    </row>
    <row r="927">
      <c r="A927" s="1"/>
      <c r="L927" s="2"/>
    </row>
    <row r="928">
      <c r="A928" s="1"/>
      <c r="L928" s="2"/>
    </row>
    <row r="929">
      <c r="A929" s="1"/>
      <c r="L929" s="2"/>
    </row>
    <row r="930">
      <c r="A930" s="1"/>
      <c r="L930" s="2"/>
    </row>
    <row r="931">
      <c r="A931" s="1"/>
      <c r="L931" s="2"/>
    </row>
    <row r="932">
      <c r="A932" s="1"/>
      <c r="L932" s="2"/>
    </row>
    <row r="933">
      <c r="A933" s="1"/>
      <c r="L933" s="2"/>
    </row>
    <row r="934">
      <c r="A934" s="1"/>
      <c r="L934" s="2"/>
    </row>
    <row r="935">
      <c r="A935" s="1"/>
      <c r="L935" s="2"/>
    </row>
    <row r="936">
      <c r="A936" s="1"/>
      <c r="L936" s="2"/>
    </row>
    <row r="937">
      <c r="A937" s="1"/>
      <c r="L937" s="2"/>
    </row>
    <row r="938">
      <c r="A938" s="1"/>
      <c r="L938" s="2"/>
    </row>
    <row r="939">
      <c r="A939" s="1"/>
      <c r="L939" s="2"/>
    </row>
    <row r="940">
      <c r="A940" s="1"/>
      <c r="L940" s="2"/>
    </row>
    <row r="941">
      <c r="A941" s="1"/>
      <c r="L941" s="2"/>
    </row>
    <row r="942">
      <c r="A942" s="1"/>
      <c r="L942" s="2"/>
    </row>
    <row r="943">
      <c r="A943" s="1"/>
      <c r="L943" s="2"/>
    </row>
    <row r="944">
      <c r="A944" s="1"/>
      <c r="L944" s="2"/>
    </row>
    <row r="945">
      <c r="A945" s="1"/>
      <c r="L945" s="2"/>
    </row>
    <row r="946">
      <c r="A946" s="1"/>
      <c r="L946" s="2"/>
    </row>
    <row r="947">
      <c r="A947" s="1"/>
      <c r="L947" s="2"/>
    </row>
    <row r="948">
      <c r="A948" s="1"/>
      <c r="L948" s="2"/>
    </row>
    <row r="949">
      <c r="A949" s="1"/>
      <c r="L949" s="2"/>
    </row>
    <row r="950">
      <c r="A950" s="1"/>
      <c r="L950" s="2"/>
    </row>
    <row r="951">
      <c r="A951" s="1"/>
      <c r="L951" s="2"/>
    </row>
    <row r="952">
      <c r="A952" s="1"/>
      <c r="L952" s="2"/>
    </row>
    <row r="953">
      <c r="A953" s="1"/>
      <c r="L953" s="2"/>
    </row>
    <row r="954">
      <c r="A954" s="1"/>
      <c r="L954" s="2"/>
    </row>
    <row r="955">
      <c r="A955" s="1"/>
      <c r="L955" s="2"/>
    </row>
    <row r="956">
      <c r="A956" s="1"/>
      <c r="L956" s="2"/>
    </row>
    <row r="957">
      <c r="A957" s="1"/>
      <c r="L957" s="2"/>
    </row>
    <row r="958">
      <c r="A958" s="1"/>
      <c r="L958" s="2"/>
    </row>
    <row r="959">
      <c r="A959" s="1"/>
      <c r="L959" s="2"/>
    </row>
    <row r="960">
      <c r="A960" s="1"/>
      <c r="L960" s="2"/>
    </row>
    <row r="961">
      <c r="A961" s="1"/>
      <c r="L961" s="2"/>
    </row>
    <row r="962">
      <c r="A962" s="1"/>
      <c r="L962" s="2"/>
    </row>
    <row r="963">
      <c r="A963" s="1"/>
      <c r="L963" s="2"/>
    </row>
    <row r="964">
      <c r="A964" s="1"/>
      <c r="L964" s="2"/>
    </row>
    <row r="965">
      <c r="A965" s="1"/>
      <c r="L965" s="2"/>
    </row>
    <row r="966">
      <c r="A966" s="1"/>
      <c r="L966" s="2"/>
    </row>
    <row r="967">
      <c r="A967" s="1"/>
      <c r="L967" s="2"/>
    </row>
    <row r="968">
      <c r="A968" s="1"/>
      <c r="L968" s="2"/>
    </row>
    <row r="969">
      <c r="A969" s="1"/>
      <c r="L969" s="2"/>
    </row>
    <row r="970">
      <c r="A970" s="1"/>
      <c r="L970" s="2"/>
    </row>
    <row r="971">
      <c r="A971" s="1"/>
      <c r="L971" s="2"/>
    </row>
    <row r="972">
      <c r="A972" s="1"/>
      <c r="L972" s="2"/>
    </row>
    <row r="973">
      <c r="A973" s="1"/>
      <c r="L973" s="2"/>
    </row>
    <row r="974">
      <c r="A974" s="1"/>
      <c r="L974" s="2"/>
    </row>
    <row r="975">
      <c r="A975" s="1"/>
      <c r="L975" s="2"/>
    </row>
    <row r="976">
      <c r="A976" s="1"/>
      <c r="L976" s="2"/>
    </row>
    <row r="977">
      <c r="A977" s="1"/>
      <c r="L977" s="2"/>
    </row>
    <row r="978">
      <c r="A978" s="1"/>
      <c r="L978" s="2"/>
    </row>
    <row r="979">
      <c r="A979" s="1"/>
      <c r="L979" s="2"/>
    </row>
    <row r="980">
      <c r="A980" s="1"/>
      <c r="L980" s="2"/>
    </row>
    <row r="981">
      <c r="A981" s="1"/>
      <c r="L981" s="2"/>
    </row>
    <row r="982">
      <c r="A982" s="1"/>
      <c r="L982" s="2"/>
    </row>
    <row r="983">
      <c r="A983" s="1"/>
      <c r="L983" s="2"/>
    </row>
    <row r="984">
      <c r="A984" s="1"/>
      <c r="L984" s="2"/>
    </row>
    <row r="985">
      <c r="A985" s="1"/>
      <c r="L985" s="2"/>
    </row>
    <row r="986">
      <c r="A986" s="1"/>
      <c r="L986" s="2"/>
    </row>
    <row r="987">
      <c r="A987" s="1"/>
      <c r="L987" s="2"/>
    </row>
    <row r="988">
      <c r="A988" s="1"/>
      <c r="L988" s="2"/>
    </row>
    <row r="989">
      <c r="A989" s="1"/>
      <c r="L989" s="2"/>
    </row>
    <row r="990">
      <c r="A990" s="1"/>
      <c r="L990" s="2"/>
    </row>
    <row r="991">
      <c r="A991" s="1"/>
      <c r="L991" s="2"/>
    </row>
    <row r="992">
      <c r="A992" s="1"/>
      <c r="L992" s="2"/>
    </row>
    <row r="993">
      <c r="A993" s="1"/>
      <c r="L993" s="2"/>
    </row>
    <row r="994">
      <c r="A994" s="1"/>
      <c r="L994" s="2"/>
    </row>
    <row r="995">
      <c r="A995" s="1"/>
      <c r="L995" s="2"/>
    </row>
    <row r="996">
      <c r="A996" s="1"/>
      <c r="L996" s="2"/>
    </row>
    <row r="997">
      <c r="A997" s="1"/>
      <c r="L997" s="2"/>
    </row>
    <row r="998">
      <c r="A998" s="1"/>
      <c r="L998" s="2"/>
    </row>
    <row r="999">
      <c r="A999" s="1"/>
      <c r="L999" s="2"/>
    </row>
    <row r="1000">
      <c r="A1000" s="1"/>
      <c r="L1000" s="2"/>
    </row>
    <row r="1001">
      <c r="A1001" s="1"/>
      <c r="L1001" s="2"/>
    </row>
    <row r="1002">
      <c r="A1002" s="1"/>
      <c r="L1002" s="2"/>
    </row>
    <row r="1003">
      <c r="A1003" s="1"/>
      <c r="L1003" s="2"/>
    </row>
    <row r="1004">
      <c r="A1004" s="1"/>
      <c r="L1004" s="2"/>
    </row>
    <row r="1005">
      <c r="A1005" s="1"/>
      <c r="L1005" s="2"/>
    </row>
    <row r="1006">
      <c r="A1006" s="1"/>
      <c r="L1006" s="2"/>
    </row>
    <row r="1007">
      <c r="A1007" s="1"/>
      <c r="L1007" s="2"/>
    </row>
    <row r="1008">
      <c r="A1008" s="1"/>
      <c r="L1008" s="2"/>
    </row>
    <row r="1009">
      <c r="A1009" s="1"/>
      <c r="L1009" s="2"/>
    </row>
    <row r="1010">
      <c r="A1010" s="1"/>
      <c r="L1010" s="2"/>
    </row>
    <row r="1011">
      <c r="A1011" s="1"/>
      <c r="L1011" s="2"/>
    </row>
    <row r="1012">
      <c r="A1012" s="1"/>
      <c r="L1012" s="2"/>
    </row>
  </sheetData>
  <dataValidations>
    <dataValidation type="list" allowBlank="1" sqref="B3:B40">
      <formula1>"Leistung,Mengen"</formula1>
    </dataValidation>
    <dataValidation type="list" allowBlank="1" sqref="C3:C40">
      <formula1>"Raum,Decke,Wand,Leisten,Fensterflügel,Türflügel/Zarge,Boden,Alle Objekte"</formula1>
    </dataValidation>
    <dataValidation type="list" allowBlank="1" sqref="I3:I40">
      <formula1>"Preisrahmen,Zeitrahmen"</formula1>
    </dataValidation>
  </dataValidations>
  <printOptions/>
  <pageMargins bottom="0.787401575" footer="0.0" header="0.0" left="0.7" right="0.7" top="0.787401575"/>
  <pageSetup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5.38"/>
    <col customWidth="1" min="2" max="2" width="120.38"/>
    <col customWidth="1" min="3" max="26" width="9.38"/>
  </cols>
  <sheetData>
    <row r="1" ht="12.75" customHeight="1">
      <c r="A1" s="14" t="s">
        <v>87</v>
      </c>
      <c r="B1" s="14" t="s">
        <v>88</v>
      </c>
    </row>
    <row r="2" ht="12.75" customHeight="1">
      <c r="A2" s="15" t="s">
        <v>89</v>
      </c>
      <c r="B2" s="15" t="s">
        <v>90</v>
      </c>
    </row>
    <row r="3" ht="12.75" customHeight="1">
      <c r="A3" s="16" t="s">
        <v>91</v>
      </c>
      <c r="B3" s="14" t="s">
        <v>92</v>
      </c>
    </row>
    <row r="4" ht="12.75" customHeight="1">
      <c r="A4" s="16" t="s">
        <v>93</v>
      </c>
      <c r="B4" s="14" t="s">
        <v>94</v>
      </c>
    </row>
    <row r="5" ht="12.75" customHeight="1">
      <c r="A5" s="17" t="s">
        <v>95</v>
      </c>
      <c r="B5" s="14" t="s">
        <v>96</v>
      </c>
    </row>
    <row r="6" ht="12.75" customHeight="1">
      <c r="A6" s="16"/>
      <c r="B6" s="14"/>
    </row>
    <row r="7" ht="12.75" customHeight="1">
      <c r="A7" s="16"/>
      <c r="B7" s="14"/>
    </row>
    <row r="8" ht="12.75" customHeight="1">
      <c r="A8" s="15" t="s">
        <v>97</v>
      </c>
      <c r="B8" s="15" t="s">
        <v>90</v>
      </c>
    </row>
    <row r="9" ht="12.75" customHeight="1">
      <c r="A9" s="16" t="s">
        <v>98</v>
      </c>
      <c r="B9" s="14" t="s">
        <v>99</v>
      </c>
    </row>
    <row r="10" ht="12.75" customHeight="1">
      <c r="A10" s="16" t="s">
        <v>100</v>
      </c>
      <c r="B10" s="14" t="s">
        <v>101</v>
      </c>
    </row>
    <row r="11" ht="12.75" customHeight="1">
      <c r="A11" s="16" t="s">
        <v>102</v>
      </c>
      <c r="B11" s="14" t="s">
        <v>103</v>
      </c>
    </row>
    <row r="12" ht="12.75" customHeight="1">
      <c r="A12" s="16" t="s">
        <v>104</v>
      </c>
      <c r="B12" s="14" t="s">
        <v>105</v>
      </c>
    </row>
    <row r="13" ht="12.75" customHeight="1">
      <c r="A13" s="16" t="s">
        <v>106</v>
      </c>
      <c r="B13" s="14" t="s">
        <v>107</v>
      </c>
    </row>
    <row r="14" ht="41.25" customHeight="1">
      <c r="A14" s="16" t="s">
        <v>108</v>
      </c>
      <c r="B14" s="14" t="s">
        <v>109</v>
      </c>
    </row>
    <row r="15" ht="12.75" customHeight="1">
      <c r="A15" s="16" t="s">
        <v>110</v>
      </c>
      <c r="B15" s="14" t="s">
        <v>111</v>
      </c>
    </row>
    <row r="16" ht="12.75" customHeight="1">
      <c r="A16" s="16"/>
      <c r="B16" s="14"/>
    </row>
    <row r="17" ht="12.75" customHeight="1">
      <c r="A17" s="16"/>
      <c r="B17" s="14"/>
    </row>
    <row r="18" ht="12.75" customHeight="1">
      <c r="A18" s="16"/>
      <c r="B18" s="14"/>
    </row>
    <row r="19" ht="12.75" customHeight="1">
      <c r="A19" s="16"/>
      <c r="B19" s="14"/>
    </row>
    <row r="20" ht="12.75" customHeight="1">
      <c r="A20" s="16"/>
      <c r="B20" s="14"/>
    </row>
    <row r="21" ht="12.75" customHeight="1">
      <c r="A21" s="16"/>
      <c r="B21" s="14"/>
    </row>
    <row r="22" ht="12.75" customHeight="1">
      <c r="A22" s="16"/>
      <c r="B22" s="14"/>
    </row>
    <row r="23" ht="12.75" customHeight="1">
      <c r="A23" s="16"/>
      <c r="B23" s="14"/>
    </row>
    <row r="24" ht="12.75" customHeight="1">
      <c r="A24" s="16"/>
      <c r="B24" s="14"/>
    </row>
    <row r="25" ht="12.75" customHeight="1">
      <c r="A25" s="16"/>
      <c r="B25" s="14"/>
    </row>
    <row r="26" ht="12.75" customHeight="1">
      <c r="A26" s="16"/>
      <c r="B26" s="14"/>
    </row>
    <row r="27" ht="12.75" customHeight="1">
      <c r="A27" s="16"/>
      <c r="B27" s="14"/>
    </row>
    <row r="28" ht="12.75" customHeight="1">
      <c r="A28" s="16"/>
      <c r="B28" s="14"/>
    </row>
    <row r="29" ht="12.75" customHeight="1">
      <c r="A29" s="16"/>
      <c r="B29" s="14"/>
    </row>
    <row r="30" ht="12.75" customHeight="1">
      <c r="A30" s="16"/>
      <c r="B30" s="14"/>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7" right="0.7"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75"/>
    <col customWidth="1" min="4" max="5" width="21.25"/>
    <col customWidth="1" min="6" max="32" width="19.75"/>
    <col customWidth="1" min="33" max="52" width="11.0"/>
  </cols>
  <sheetData>
    <row r="1" ht="22.5" customHeight="1">
      <c r="A1" s="18" t="s">
        <v>3</v>
      </c>
      <c r="B1" s="19" t="s">
        <v>112</v>
      </c>
      <c r="C1" s="18" t="s">
        <v>13</v>
      </c>
      <c r="D1" s="19" t="s">
        <v>113</v>
      </c>
      <c r="E1" s="18" t="s">
        <v>14</v>
      </c>
      <c r="F1" s="20" t="s">
        <v>15</v>
      </c>
      <c r="G1" s="19" t="s">
        <v>114</v>
      </c>
      <c r="H1" s="18" t="s">
        <v>115</v>
      </c>
      <c r="I1" s="19" t="s">
        <v>116</v>
      </c>
      <c r="J1" s="18" t="s">
        <v>117</v>
      </c>
      <c r="K1" s="19" t="s">
        <v>118</v>
      </c>
      <c r="L1" s="18" t="s">
        <v>18</v>
      </c>
      <c r="M1" s="18" t="s">
        <v>19</v>
      </c>
      <c r="N1" s="21" t="s">
        <v>119</v>
      </c>
      <c r="O1" s="21" t="s">
        <v>120</v>
      </c>
      <c r="P1" s="22" t="s">
        <v>121</v>
      </c>
      <c r="Q1" s="22" t="s">
        <v>122</v>
      </c>
      <c r="R1" s="22" t="s">
        <v>123</v>
      </c>
      <c r="S1" s="22" t="s">
        <v>124</v>
      </c>
      <c r="T1" s="22" t="s">
        <v>125</v>
      </c>
      <c r="U1" s="22" t="s">
        <v>126</v>
      </c>
      <c r="V1" s="22" t="s">
        <v>127</v>
      </c>
      <c r="W1" s="22" t="s">
        <v>128</v>
      </c>
      <c r="X1" s="22" t="s">
        <v>129</v>
      </c>
      <c r="Y1" s="22" t="s">
        <v>130</v>
      </c>
      <c r="Z1" s="22" t="s">
        <v>131</v>
      </c>
      <c r="AA1" s="22" t="s">
        <v>132</v>
      </c>
      <c r="AB1" s="22" t="s">
        <v>133</v>
      </c>
      <c r="AC1" s="22" t="s">
        <v>134</v>
      </c>
      <c r="AD1" s="22" t="s">
        <v>135</v>
      </c>
      <c r="AE1" s="22" t="s">
        <v>136</v>
      </c>
      <c r="AF1" s="22" t="s">
        <v>137</v>
      </c>
    </row>
    <row r="2" ht="22.5" customHeight="1">
      <c r="A2" s="23" t="s">
        <v>27</v>
      </c>
      <c r="B2" s="23" t="s">
        <v>138</v>
      </c>
      <c r="C2" s="24">
        <v>15.0</v>
      </c>
      <c r="D2" s="23">
        <v>2.5</v>
      </c>
      <c r="E2" s="23" t="s">
        <v>139</v>
      </c>
      <c r="F2" s="25"/>
      <c r="G2" s="24"/>
      <c r="H2" s="24">
        <f t="shared" ref="H2:H25" si="1">IF(A2="Raum",(C2*J2),"")</f>
        <v>15</v>
      </c>
      <c r="I2" s="26">
        <f t="shared" ref="I2:I25" si="2">IF(A2="Raum",SQRT(C2*J2)*4*D2,"")</f>
        <v>38.72983346</v>
      </c>
      <c r="J2" s="27">
        <f>IF(E2="Treppenhaus",Faktoren!$G$4,IF(E2="Bad",Faktoren!$G$5,IF(E2="Küche",Faktoren!$G$6,IF(E2="Stuck",Faktoren!$G$7,IF(E2="Sprossenfenster",Faktoren!$G$8,IF(E2="Raum Normal",1,IF(E2="","","")))))))</f>
        <v>1</v>
      </c>
      <c r="K2" s="24" t="str">
        <f>IF(E2="Fensterflügel klein",Faktoren!$G$9,IF(E2="Fensterflügel mittel",Faktoren!$G$10,IF(E2="Fensterflügel groß",Faktoren!$G$11,IF(E2="Flur",Faktoren!$G$2,IF(E2="L",Faktoren!$G$3,"")))))</f>
        <v/>
      </c>
      <c r="L2" s="23" t="s">
        <v>140</v>
      </c>
      <c r="M2" s="24"/>
      <c r="N2" s="28"/>
      <c r="O2" s="28"/>
      <c r="P2" s="28">
        <f>IF(A2="Raum",H2*Leistungen!$J$4*(Onboarding!$D$3/60)*(Leistungen!$L$4),"")</f>
        <v>53.625</v>
      </c>
      <c r="Q2" s="29">
        <f>IF(A2="Raum",H2*Leistungen!$J$4)</f>
        <v>45</v>
      </c>
      <c r="R2" s="24" t="str">
        <f>IFERROR(__xludf.DUMMYFUNCTION("INDEX(SPLIT($L$2,"",""),1)"),"Überholungsanstrich")</f>
        <v>Überholungsanstrich</v>
      </c>
      <c r="S2" s="28">
        <f>IFERROR(__xludf.DUMMYFUNCTION("IF(REGEXMATCH(B2,""Decken""),H2,0) + IF(REGEXMATCH(B2,""Wände""),I2,0)*Leistungen!$J$20*(Onboarding!$D$3/60)*Leistungen!$L$20"),216.39513400278565)</f>
        <v>216.395134</v>
      </c>
      <c r="T2" s="29">
        <f>IFERROR(__xludf.DUMMYFUNCTION("IF(REGEXMATCH(A2,""Decken""),H2,0) + IF(REGEXMATCH(B2,""Wände""),I2,0)*Leistungen!$J$20"),154.91933384829667)</f>
        <v>154.9193338</v>
      </c>
      <c r="U2" s="30" t="str">
        <f>IFERROR(__xludf.DUMMYFUNCTION("IF(REGEXMATCH(D2,""Decken""),J2,0) + IF(REGEXMATCH(D2,""Wände""),K2,0)*Leistungen!$J$20*(Onboarding!F3/60)*(Leistungen!$L$20)"),"#VALUE!")</f>
        <v>#VALUE!</v>
      </c>
      <c r="V2" s="24" t="str">
        <f>IFERROR(__xludf.DUMMYFUNCTION("INDEX(SPLIT($L$2,"",""),3)"),"#REF!")</f>
        <v>#REF!</v>
      </c>
      <c r="W2" s="24" t="str">
        <f>IFERROR(__xludf.DUMMYFUNCTION("INDEX(SPLIT($L$2,"",""),4)"),"#REF!")</f>
        <v>#REF!</v>
      </c>
      <c r="X2" s="24" t="str">
        <f>IFERROR(__xludf.DUMMYFUNCTION("INDEX(SPLIT($L$2,"",""),5)"),"#REF!")</f>
        <v>#REF!</v>
      </c>
      <c r="Y2" s="24" t="str">
        <f>IFERROR(__xludf.DUMMYFUNCTION("INDEX(SPLIT($L$2,"",""),6)"),"#REF!")</f>
        <v>#REF!</v>
      </c>
      <c r="Z2" s="24" t="str">
        <f>IFERROR(__xludf.DUMMYFUNCTION("INDEX(SPLIT($L$2,"",""),7)"),"#REF!")</f>
        <v>#REF!</v>
      </c>
      <c r="AA2" s="24" t="str">
        <f>IFERROR(__xludf.DUMMYFUNCTION("INDEX(SPLIT($L$2,"",""),8)"),"#REF!")</f>
        <v>#REF!</v>
      </c>
      <c r="AB2" s="24" t="str">
        <f>IFERROR(__xludf.DUMMYFUNCTION("INDEX(SPLIT($L$2,"",""),9)"),"#REF!")</f>
        <v>#REF!</v>
      </c>
      <c r="AC2" s="24" t="str">
        <f>IFERROR(__xludf.DUMMYFUNCTION("INDEX(SPLIT($L$2,"",""),10)"),"#REF!")</f>
        <v>#REF!</v>
      </c>
      <c r="AD2" s="25"/>
      <c r="AE2" s="25"/>
      <c r="AF2" s="25"/>
    </row>
    <row r="3" ht="22.5" customHeight="1">
      <c r="A3" s="23" t="s">
        <v>27</v>
      </c>
      <c r="B3" s="23" t="s">
        <v>141</v>
      </c>
      <c r="C3" s="24">
        <v>20.0</v>
      </c>
      <c r="D3" s="23">
        <v>2.5</v>
      </c>
      <c r="E3" s="23" t="s">
        <v>139</v>
      </c>
      <c r="F3" s="25"/>
      <c r="G3" s="24"/>
      <c r="H3" s="24">
        <f t="shared" si="1"/>
        <v>20</v>
      </c>
      <c r="I3" s="26">
        <f t="shared" si="2"/>
        <v>44.72135955</v>
      </c>
      <c r="J3" s="27">
        <f>IF(E3="Treppenhaus",Faktoren!$G$4,IF(E3="Bad",Faktoren!$G$5,IF(E3="Küche",Faktoren!$G$6,IF(E3="Stuck",Faktoren!$G$7,IF(E3="Sprossenfenster",Faktoren!$G$8,IF(E3="Raum Normal",1,IF(E3="","","")))))))</f>
        <v>1</v>
      </c>
      <c r="K3" s="24" t="str">
        <f>IF(E3="Fensterflügel klein",Faktoren!$G$9,IF(E3="Fensterflügel mittel",Faktoren!$G$10,IF(E3="Fensterflügel groß",Faktoren!$G$11,IF(E3="Flur",Faktoren!$G$2,IF(E3="L",Faktoren!$G$3,"")))))</f>
        <v/>
      </c>
      <c r="L3" s="23" t="s">
        <v>140</v>
      </c>
      <c r="M3" s="24"/>
      <c r="N3" s="28"/>
      <c r="O3" s="28"/>
      <c r="P3" s="28">
        <f>IF(A3="Raum",H3*Leistungen!$J$4*(Onboarding!$D$3/60)*(Leistungen!$L$4),"")</f>
        <v>71.5</v>
      </c>
      <c r="Q3" s="29">
        <f>IF(A3="Raum",H3*Leistungen!$J$4*(Onboarding!$D$3/60)*(Leistungen!$L$4),"")</f>
        <v>71.5</v>
      </c>
      <c r="R3" s="24" t="str">
        <f>IFERROR(__xludf.DUMMYFUNCTION("INDEX(SPLIT(L3,"",""),1)"),"Überholungsanstrich")</f>
        <v>Überholungsanstrich</v>
      </c>
      <c r="S3" s="28">
        <f>IFERROR(__xludf.DUMMYFUNCTION("IF(REGEXMATCH(B3,""Decken""),H3,0) + IF(REGEXMATCH(B3,""Wände""),I3,0)*Leistungen!$J$20*(Onboarding!$D$3/60)*Leistungen!$L$20"),232.5510696599781)</f>
        <v>232.5510697</v>
      </c>
      <c r="T3" s="29">
        <f>IFERROR(__xludf.DUMMYFUNCTION("IF(REGEXMATCH(A3,""Decken""),H3,0) + IF(REGEXMATCH(B3,""Wände""),I3,0)*Leistungen!$J$20*(Onboarding!$D$3/60)*Leistungen!$L$20"),232.5510696599781)</f>
        <v>232.5510697</v>
      </c>
      <c r="U3" s="30" t="str">
        <f>IFERROR(__xludf.DUMMYFUNCTION("IF(REGEXMATCH(D3,""Decken""),J3,0) + IF(REGEXMATCH(D3,""Wände""),K3,0)*Leistungen!$J$20*(Onboarding!F4/60)*Leistungen!$L$20"),"#VALUE!")</f>
        <v>#VALUE!</v>
      </c>
      <c r="V3" s="24"/>
      <c r="W3" s="24"/>
      <c r="X3" s="24"/>
      <c r="Y3" s="24"/>
      <c r="Z3" s="24"/>
      <c r="AA3" s="24"/>
      <c r="AB3" s="24"/>
      <c r="AC3" s="24"/>
      <c r="AD3" s="24"/>
      <c r="AE3" s="24"/>
      <c r="AF3" s="24"/>
    </row>
    <row r="4" ht="22.5" customHeight="1">
      <c r="A4" s="23" t="s">
        <v>142</v>
      </c>
      <c r="B4" s="23"/>
      <c r="C4" s="24"/>
      <c r="D4" s="23"/>
      <c r="E4" s="23"/>
      <c r="F4" s="25"/>
      <c r="G4" s="24"/>
      <c r="H4" s="24" t="str">
        <f t="shared" si="1"/>
        <v/>
      </c>
      <c r="I4" s="26" t="str">
        <f t="shared" si="2"/>
        <v/>
      </c>
      <c r="J4" s="27" t="str">
        <f>IF(E4="Treppenhaus",Faktoren!$G$4,IF(E4="Bad",Faktoren!$G$5,IF(E4="Küche",Faktoren!$G$6,IF(E4="Stuck",Faktoren!$G$7,IF(E4="Sprossenfenster",Faktoren!$G$8,IF(E4="Raum Normal",1,IF(E4="","","")))))))</f>
        <v/>
      </c>
      <c r="K4" s="24" t="str">
        <f>IF(E4="Fensterflügel klein",Faktoren!$G$9,IF(E4="Fensterflügel mittel",Faktoren!$G$10,IF(E4="Fensterflügel groß",Faktoren!$G$11,IF(E4="Flur",Faktoren!$G$2,IF(E4="L",Faktoren!$G$3,"")))))</f>
        <v/>
      </c>
      <c r="L4" s="23"/>
      <c r="M4" s="24"/>
      <c r="N4" s="28"/>
      <c r="O4" s="28"/>
      <c r="P4" s="28" t="str">
        <f>IF(A4="Raum",H4*Leistungen!$J$4*(Onboarding!$D$3/60)*(Leistungen!$L$4),"")</f>
        <v/>
      </c>
      <c r="Q4" s="29" t="str">
        <f>IF(A4="Raum",H4*Leistungen!$J$4*(Onboarding!$D$3/60)*(Leistungen!$L$4),"")</f>
        <v/>
      </c>
      <c r="R4" s="24" t="str">
        <f>IFERROR(__xludf.DUMMYFUNCTION("INDEX(SPLIT(L4,"",""),1)"),"#VALUE!")</f>
        <v>#VALUE!</v>
      </c>
      <c r="S4" s="28">
        <f>IFERROR(__xludf.DUMMYFUNCTION("IF(REGEXMATCH(B4,""Decken""),H4,0) + IF(REGEXMATCH(B4,""Wände""),I4,0)*Leistungen!$J$20*(Onboarding!$D$3/60)*Leistungen!$L$20"),0.0)</f>
        <v>0</v>
      </c>
      <c r="T4" s="29">
        <f>IFERROR(__xludf.DUMMYFUNCTION("IF(REGEXMATCH(A4,""Decken""),H4,0) + IF(REGEXMATCH(B4,""Wände""),I4,0)*Leistungen!$J$20*(Onboarding!$D$3/60)*Leistungen!$L$20"),0.0)</f>
        <v>0</v>
      </c>
      <c r="U4" s="30" t="str">
        <f>IFERROR(__xludf.DUMMYFUNCTION("IF(REGEXMATCH(D4,""Decken""),J4,0) + IF(REGEXMATCH(D4,""Wände""),K4,0)*Leistungen!$J$20*(Onboarding!F5/60)*Leistungen!$L$20"),"#VALUE!")</f>
        <v>#VALUE!</v>
      </c>
      <c r="V4" s="24"/>
      <c r="W4" s="24"/>
      <c r="X4" s="24"/>
      <c r="Y4" s="24"/>
      <c r="Z4" s="24"/>
      <c r="AA4" s="24"/>
      <c r="AB4" s="24"/>
      <c r="AC4" s="24"/>
      <c r="AD4" s="24"/>
      <c r="AE4" s="24"/>
      <c r="AF4" s="24"/>
    </row>
    <row r="5" ht="22.5" customHeight="1">
      <c r="A5" s="23"/>
      <c r="B5" s="23"/>
      <c r="C5" s="24"/>
      <c r="D5" s="23"/>
      <c r="E5" s="23" t="s">
        <v>25</v>
      </c>
      <c r="F5" s="25"/>
      <c r="G5" s="24"/>
      <c r="H5" s="24" t="str">
        <f t="shared" si="1"/>
        <v/>
      </c>
      <c r="I5" s="26" t="str">
        <f t="shared" si="2"/>
        <v/>
      </c>
      <c r="J5" s="27" t="str">
        <f>IF(E5="Treppenhaus",Faktoren!$G$4,IF(E5="Bad",Faktoren!$G$5,IF(E5="Küche",Faktoren!$G$6,IF(E5="Stuck",Faktoren!$G$7,IF(E5="Sprossenfenster",Faktoren!$G$8,IF(E5="Raum Normal",1,IF(E5="","","")))))))</f>
        <v/>
      </c>
      <c r="K5" s="31">
        <f>IF(E5="Fensterflügel klein",Faktoren!$G$9,IF(E5="Fensterflügel mittel",Faktoren!$G$10,IF(E5="Fensterflügel groß",Faktoren!$G$11,IF(E5="Flur",Faktoren!$G$2,IF(E5="L",Faktoren!$G$3,"")))))</f>
        <v>45689</v>
      </c>
      <c r="L5" s="23"/>
      <c r="M5" s="24"/>
      <c r="N5" s="28"/>
      <c r="O5" s="28"/>
      <c r="P5" s="28" t="str">
        <f>IF(A5="Raum",H5*Leistungen!$J$4*(Onboarding!$D$3/60)*(Leistungen!$L$4),"")</f>
        <v/>
      </c>
      <c r="Q5" s="29" t="str">
        <f>IF(A5="Raum",H5*Leistungen!$J$4*(Onboarding!$D$3/60)*(Leistungen!$L$4),"")</f>
        <v/>
      </c>
      <c r="R5" s="24" t="str">
        <f>IFERROR(__xludf.DUMMYFUNCTION("INDEX(SPLIT(L5,"",""),1)"),"#VALUE!")</f>
        <v>#VALUE!</v>
      </c>
      <c r="S5" s="28">
        <f>IFERROR(__xludf.DUMMYFUNCTION("IF(REGEXMATCH(B5,""Decken""),H5,0) + IF(REGEXMATCH(B5,""Wände""),I5,0)*Leistungen!$J$20*(Onboarding!$D$3/60)*Leistungen!$L$20"),0.0)</f>
        <v>0</v>
      </c>
      <c r="T5" s="29">
        <f>IFERROR(__xludf.DUMMYFUNCTION("IF(REGEXMATCH(A5,""Decken""),H5,0) + IF(REGEXMATCH(B5,""Wände""),I5,0)*Leistungen!$J$20*(Onboarding!$D$3/60)*Leistungen!$L$20"),0.0)</f>
        <v>0</v>
      </c>
      <c r="U5" s="30" t="str">
        <f>IFERROR(__xludf.DUMMYFUNCTION("IF(REGEXMATCH(D5,""Decken""),J5,0) + IF(REGEXMATCH(D5,""Wände""),K5,0)*Leistungen!$J$20*(Onboarding!F6/60)*Leistungen!$L$20"),"#VALUE!")</f>
        <v>#VALUE!</v>
      </c>
      <c r="V5" s="24"/>
      <c r="W5" s="24"/>
      <c r="X5" s="24"/>
      <c r="Y5" s="24"/>
      <c r="Z5" s="24"/>
      <c r="AA5" s="24"/>
      <c r="AB5" s="24"/>
      <c r="AC5" s="24"/>
      <c r="AD5" s="24"/>
      <c r="AE5" s="24"/>
      <c r="AF5" s="24"/>
    </row>
    <row r="6" ht="22.5" customHeight="1">
      <c r="A6" s="23"/>
      <c r="B6" s="23"/>
      <c r="C6" s="24"/>
      <c r="D6" s="23"/>
      <c r="E6" s="23"/>
      <c r="F6" s="25"/>
      <c r="G6" s="24"/>
      <c r="H6" s="24" t="str">
        <f t="shared" si="1"/>
        <v/>
      </c>
      <c r="I6" s="26" t="str">
        <f t="shared" si="2"/>
        <v/>
      </c>
      <c r="J6" s="27" t="str">
        <f>IF(E6="Treppenhaus",Faktoren!$G$4,IF(E6="Bad",Faktoren!$G$5,IF(E6="Küche",Faktoren!$G$6,IF(E6="Stuck",Faktoren!$G$7,IF(E6="Sprossenfenster",Faktoren!$G$8,IF(E6="Raum Normal",1,IF(E6="","","")))))))</f>
        <v/>
      </c>
      <c r="K6" s="24" t="str">
        <f>IF(E6="Fensterflügel klein",Faktoren!$G$9,IF(E6="Fensterflügel mittel",Faktoren!$G$10,IF(E6="Fensterflügel groß",Faktoren!$G$11,IF(E6="Flur",Faktoren!$G$2,IF(E6="L",Faktoren!$G$3,"")))))</f>
        <v/>
      </c>
      <c r="L6" s="23"/>
      <c r="M6" s="24"/>
      <c r="N6" s="28"/>
      <c r="O6" s="28"/>
      <c r="P6" s="28" t="str">
        <f>IF(A6="Raum",H6*Leistungen!$J$4*(Onboarding!$D$3/60)*(Leistungen!$L$4),"")</f>
        <v/>
      </c>
      <c r="Q6" s="29" t="str">
        <f>IF(A6="Raum",H6*Leistungen!$J$4*(Onboarding!$D$3/60)*(Leistungen!$L$4),"")</f>
        <v/>
      </c>
      <c r="R6" s="24" t="str">
        <f>IFERROR(__xludf.DUMMYFUNCTION("INDEX(SPLIT(L6,"",""),1)"),"#VALUE!")</f>
        <v>#VALUE!</v>
      </c>
      <c r="S6" s="28">
        <f>IFERROR(__xludf.DUMMYFUNCTION("IF(REGEXMATCH(B6,""Decken""),H6,0) + IF(REGEXMATCH(B6,""Wände""),I6,0)*Leistungen!$J$20*(Onboarding!$D$3/60)*Leistungen!$L$20"),0.0)</f>
        <v>0</v>
      </c>
      <c r="T6" s="29">
        <f>IFERROR(__xludf.DUMMYFUNCTION("IF(REGEXMATCH(A6,""Decken""),H6,0) + IF(REGEXMATCH(B6,""Wände""),I6,0)*Leistungen!$J$20*(Onboarding!$D$3/60)*Leistungen!$L$20"),0.0)</f>
        <v>0</v>
      </c>
      <c r="U6" s="30" t="str">
        <f>IFERROR(__xludf.DUMMYFUNCTION("IF(REGEXMATCH(D6,""Decken""),J6,0) + IF(REGEXMATCH(D6,""Wände""),K6,0)*Leistungen!$J$20*(Onboarding!F7/60)*Leistungen!$L$20"),"#VALUE!")</f>
        <v>#VALUE!</v>
      </c>
      <c r="V6" s="24"/>
      <c r="W6" s="24"/>
      <c r="X6" s="24"/>
      <c r="Y6" s="24"/>
      <c r="Z6" s="24"/>
      <c r="AA6" s="24"/>
      <c r="AB6" s="24"/>
      <c r="AC6" s="24"/>
      <c r="AD6" s="24"/>
      <c r="AE6" s="24"/>
      <c r="AF6" s="24"/>
    </row>
    <row r="7" ht="22.5" customHeight="1">
      <c r="A7" s="23"/>
      <c r="B7" s="23"/>
      <c r="C7" s="24"/>
      <c r="D7" s="23"/>
      <c r="E7" s="23"/>
      <c r="F7" s="25"/>
      <c r="G7" s="24"/>
      <c r="H7" s="24" t="str">
        <f t="shared" si="1"/>
        <v/>
      </c>
      <c r="I7" s="26" t="str">
        <f t="shared" si="2"/>
        <v/>
      </c>
      <c r="J7" s="27" t="str">
        <f>IF(E7="Treppenhaus",Faktoren!$G$4,IF(E7="Bad",Faktoren!$G$5,IF(E7="Küche",Faktoren!$G$6,IF(E7="Stuck",Faktoren!$G$7,IF(E7="Sprossenfenster",Faktoren!$G$8,IF(E7="Raum Normal",1,IF(E7="","","")))))))</f>
        <v/>
      </c>
      <c r="K7" s="24" t="str">
        <f>IF(E7="Fensterflügel klein",Faktoren!$G$9,IF(E7="Fensterflügel mittel",Faktoren!$G$10,IF(E7="Fensterflügel groß",Faktoren!$G$11,IF(E7="Flur",Faktoren!$G$2,IF(E7="L",Faktoren!$G$3,"")))))</f>
        <v/>
      </c>
      <c r="L7" s="23"/>
      <c r="M7" s="24"/>
      <c r="N7" s="28"/>
      <c r="O7" s="28"/>
      <c r="P7" s="28" t="str">
        <f>IF(A7="Raum",H7*Leistungen!$J$4*(Onboarding!$D$3/60)*(Leistungen!$L$4),"")</f>
        <v/>
      </c>
      <c r="Q7" s="29" t="str">
        <f>IF(A7="Raum",H7*Leistungen!$J$4*(Onboarding!$D$3/60)*(Leistungen!$L$4),"")</f>
        <v/>
      </c>
      <c r="R7" s="24" t="str">
        <f>IFERROR(__xludf.DUMMYFUNCTION("INDEX(SPLIT(L7,"",""),1)"),"#VALUE!")</f>
        <v>#VALUE!</v>
      </c>
      <c r="S7" s="28">
        <f>IFERROR(__xludf.DUMMYFUNCTION("IF(REGEXMATCH(B7,""Decken""),H7,0) + IF(REGEXMATCH(B7,""Wände""),I7,0)*Leistungen!$J$20*(Onboarding!$D$3/60)*Leistungen!$L$20"),0.0)</f>
        <v>0</v>
      </c>
      <c r="T7" s="29">
        <f>IFERROR(__xludf.DUMMYFUNCTION("IF(REGEXMATCH(A7,""Decken""),H7,0) + IF(REGEXMATCH(B7,""Wände""),I7,0)*Leistungen!$J$20*(Onboarding!$D$3/60)*Leistungen!$L$20"),0.0)</f>
        <v>0</v>
      </c>
      <c r="U7" s="30" t="str">
        <f>IFERROR(__xludf.DUMMYFUNCTION("IF(REGEXMATCH(D7,""Decken""),J7,0) + IF(REGEXMATCH(D7,""Wände""),K7,0)*Leistungen!$J$20*(Onboarding!F8/60)*Leistungen!$L$20"),"#VALUE!")</f>
        <v>#VALUE!</v>
      </c>
      <c r="V7" s="24"/>
      <c r="W7" s="24"/>
      <c r="X7" s="24"/>
      <c r="Y7" s="24"/>
      <c r="Z7" s="24"/>
      <c r="AA7" s="24"/>
      <c r="AB7" s="24"/>
      <c r="AC7" s="24"/>
      <c r="AD7" s="24"/>
      <c r="AE7" s="24"/>
      <c r="AF7" s="24"/>
    </row>
    <row r="8" ht="22.5" customHeight="1">
      <c r="A8" s="23"/>
      <c r="B8" s="23"/>
      <c r="C8" s="24"/>
      <c r="D8" s="24"/>
      <c r="E8" s="24"/>
      <c r="F8" s="25"/>
      <c r="G8" s="24"/>
      <c r="H8" s="24" t="str">
        <f t="shared" si="1"/>
        <v/>
      </c>
      <c r="I8" s="26" t="str">
        <f t="shared" si="2"/>
        <v/>
      </c>
      <c r="J8" s="27" t="str">
        <f>IF(E8="Treppenhaus",Faktoren!$G$4,IF(E8="Bad",Faktoren!$G$5,IF(E8="Küche",Faktoren!$G$6,IF(E8="Stuck",Faktoren!$G$7,IF(E8="Sprossenfenster",Faktoren!$G$8,IF(E8="Raum Normal",1,IF(E8="","","")))))))</f>
        <v/>
      </c>
      <c r="K8" s="24" t="str">
        <f>IF(E8="Fensterflügel klein",Faktoren!$G$9,IF(E8="Fensterflügel mittel",Faktoren!$G$10,IF(E8="Fensterflügel groß",Faktoren!$G$11,IF(E8="Flur",Faktoren!$G$2,IF(E8="L",Faktoren!$G$3,"")))))</f>
        <v/>
      </c>
      <c r="L8" s="23"/>
      <c r="M8" s="24"/>
      <c r="N8" s="28"/>
      <c r="O8" s="28"/>
      <c r="P8" s="28" t="str">
        <f>IF(A8="Raum",H8*Leistungen!$J$4*(Onboarding!$D$3/60)*(Leistungen!$L$4),"")</f>
        <v/>
      </c>
      <c r="Q8" s="29" t="str">
        <f>IF(A8="Raum",H8*Leistungen!$J$4*(Onboarding!$D$3/60)*(Leistungen!$L$4),"")</f>
        <v/>
      </c>
      <c r="R8" s="24" t="str">
        <f>IFERROR(__xludf.DUMMYFUNCTION("INDEX(SPLIT(L8,"",""),1)"),"#VALUE!")</f>
        <v>#VALUE!</v>
      </c>
      <c r="S8" s="28">
        <f>IFERROR(__xludf.DUMMYFUNCTION("IF(REGEXMATCH(B8,""Decken""),H8,0) + IF(REGEXMATCH(B8,""Wände""),I8,0)*Leistungen!$J$20*(Onboarding!$D$3/60)*Leistungen!$L$20"),0.0)</f>
        <v>0</v>
      </c>
      <c r="T8" s="29">
        <f>IFERROR(__xludf.DUMMYFUNCTION("IF(REGEXMATCH(A8,""Decken""),H8,0) + IF(REGEXMATCH(B8,""Wände""),I8,0)*Leistungen!$J$20*(Onboarding!$D$3/60)*Leistungen!$L$20"),0.0)</f>
        <v>0</v>
      </c>
      <c r="U8" s="30" t="str">
        <f>IFERROR(__xludf.DUMMYFUNCTION("IF(REGEXMATCH(D8,""Decken""),J8,0) + IF(REGEXMATCH(D8,""Wände""),K8,0)*Leistungen!$J$20*(Onboarding!F9/60)*Leistungen!$L$20"),"#VALUE!")</f>
        <v>#VALUE!</v>
      </c>
      <c r="V8" s="24"/>
      <c r="W8" s="24"/>
      <c r="X8" s="24"/>
      <c r="Y8" s="24"/>
      <c r="Z8" s="24"/>
      <c r="AA8" s="24"/>
      <c r="AB8" s="24"/>
      <c r="AC8" s="24"/>
      <c r="AD8" s="24"/>
      <c r="AE8" s="24"/>
      <c r="AF8" s="24"/>
    </row>
    <row r="9" ht="22.5" customHeight="1">
      <c r="A9" s="23"/>
      <c r="B9" s="23"/>
      <c r="C9" s="24"/>
      <c r="D9" s="24"/>
      <c r="E9" s="24"/>
      <c r="F9" s="25"/>
      <c r="G9" s="24"/>
      <c r="H9" s="24" t="str">
        <f t="shared" si="1"/>
        <v/>
      </c>
      <c r="I9" s="26" t="str">
        <f t="shared" si="2"/>
        <v/>
      </c>
      <c r="J9" s="27" t="str">
        <f>IF(E9="Treppenhaus",Faktoren!$G$4,IF(E9="Bad",Faktoren!$G$5,IF(E9="Küche",Faktoren!$G$6,IF(E9="Stuck",Faktoren!$G$7,IF(E9="Sprossenfenster",Faktoren!$G$8,IF(E9="Raum Normal",1,IF(E9="","","")))))))</f>
        <v/>
      </c>
      <c r="K9" s="24" t="str">
        <f>IF(E9="Fensterflügel klein",Faktoren!$G$9,IF(E9="Fensterflügel mittel",Faktoren!$G$10,IF(E9="Fensterflügel groß",Faktoren!$G$11,IF(E9="Flur",Faktoren!$G$2,IF(E9="L",Faktoren!$G$3,"")))))</f>
        <v/>
      </c>
      <c r="L9" s="23"/>
      <c r="M9" s="24"/>
      <c r="N9" s="28"/>
      <c r="O9" s="28"/>
      <c r="P9" s="28" t="str">
        <f>IF(A9="Raum",H9*Leistungen!$J$4*(Onboarding!$D$3/60)*(Leistungen!$L$4),"")</f>
        <v/>
      </c>
      <c r="Q9" s="29" t="str">
        <f>IF(A9="Raum",H9*Leistungen!$J$4*(Onboarding!$D$3/60)*(Leistungen!$L$4),"")</f>
        <v/>
      </c>
      <c r="R9" s="24" t="str">
        <f>IFERROR(__xludf.DUMMYFUNCTION("INDEX(SPLIT(L9,"",""),1)"),"#VALUE!")</f>
        <v>#VALUE!</v>
      </c>
      <c r="S9" s="28">
        <f>IFERROR(__xludf.DUMMYFUNCTION("IF(REGEXMATCH(B9,""Decken""),H9,0) + IF(REGEXMATCH(B9,""Wände""),I9,0)*Leistungen!$J$20*(Onboarding!$D$3/60)*Leistungen!$L$20"),0.0)</f>
        <v>0</v>
      </c>
      <c r="T9" s="29">
        <f>IFERROR(__xludf.DUMMYFUNCTION("IF(REGEXMATCH(A9,""Decken""),H9,0) + IF(REGEXMATCH(B9,""Wände""),I9,0)*Leistungen!$J$20*(Onboarding!$D$3/60)*Leistungen!$L$20"),0.0)</f>
        <v>0</v>
      </c>
      <c r="U9" s="30" t="str">
        <f>IFERROR(__xludf.DUMMYFUNCTION("IF(REGEXMATCH(D9,""Decken""),J9,0) + IF(REGEXMATCH(D9,""Wände""),K9,0)*Leistungen!$J$20*(Onboarding!F10/60)*Leistungen!$L$20"),"#VALUE!")</f>
        <v>#VALUE!</v>
      </c>
      <c r="V9" s="24"/>
      <c r="W9" s="24"/>
      <c r="X9" s="24"/>
      <c r="Y9" s="24"/>
      <c r="Z9" s="24"/>
      <c r="AA9" s="24"/>
      <c r="AB9" s="24"/>
      <c r="AC9" s="24"/>
      <c r="AD9" s="24"/>
      <c r="AE9" s="24"/>
      <c r="AF9" s="24"/>
    </row>
    <row r="10" ht="22.5" customHeight="1">
      <c r="A10" s="23"/>
      <c r="B10" s="23"/>
      <c r="C10" s="24"/>
      <c r="D10" s="24"/>
      <c r="E10" s="24"/>
      <c r="F10" s="25"/>
      <c r="G10" s="24"/>
      <c r="H10" s="24" t="str">
        <f t="shared" si="1"/>
        <v/>
      </c>
      <c r="I10" s="26" t="str">
        <f t="shared" si="2"/>
        <v/>
      </c>
      <c r="J10" s="27" t="str">
        <f>IF(E10="Treppenhaus",Faktoren!$G$4,IF(E10="Bad",Faktoren!$G$5,IF(E10="Küche",Faktoren!$G$6,IF(E10="Stuck",Faktoren!$G$7,IF(E10="Sprossenfenster",Faktoren!$G$8,IF(E10="Raum Normal",1,IF(E10="","","")))))))</f>
        <v/>
      </c>
      <c r="K10" s="24" t="str">
        <f>IF(E10="Fensterflügel klein",Faktoren!$G$9,IF(E10="Fensterflügel mittel",Faktoren!$G$10,IF(E10="Fensterflügel groß",Faktoren!$G$11,IF(E10="Flur",Faktoren!$G$2,IF(E10="L",Faktoren!$G$3,"")))))</f>
        <v/>
      </c>
      <c r="L10" s="23"/>
      <c r="M10" s="24"/>
      <c r="N10" s="28"/>
      <c r="O10" s="28"/>
      <c r="P10" s="28" t="str">
        <f>IF(A10="Raum",H10*Leistungen!$J$4*(Onboarding!$D$3/60)*(Leistungen!$L$4),"")</f>
        <v/>
      </c>
      <c r="Q10" s="29" t="str">
        <f>IF(A10="Raum",H10*Leistungen!$J$4*(Onboarding!$D$3/60)*(Leistungen!$L$4),"")</f>
        <v/>
      </c>
      <c r="R10" s="24" t="str">
        <f>IFERROR(__xludf.DUMMYFUNCTION("INDEX(SPLIT(L10,"",""),1)"),"#VALUE!")</f>
        <v>#VALUE!</v>
      </c>
      <c r="S10" s="28">
        <f>IFERROR(__xludf.DUMMYFUNCTION("IF(REGEXMATCH(B10,""Decken""),H10,0) + IF(REGEXMATCH(B10,""Wände""),I10,0)*Leistungen!$J$20*(Onboarding!$D$3/60)*Leistungen!$L$20"),0.0)</f>
        <v>0</v>
      </c>
      <c r="T10" s="29">
        <f>IFERROR(__xludf.DUMMYFUNCTION("IF(REGEXMATCH(A10,""Decken""),H10,0) + IF(REGEXMATCH(B10,""Wände""),I10,0)*Leistungen!$J$20*(Onboarding!$D$3/60)*Leistungen!$L$20"),0.0)</f>
        <v>0</v>
      </c>
      <c r="U10" s="30" t="str">
        <f>IFERROR(__xludf.DUMMYFUNCTION("IF(REGEXMATCH(D10,""Decken""),J10,0) + IF(REGEXMATCH(D10,""Wände""),K10,0)*Leistungen!$J$20*(Onboarding!F11/60)*Leistungen!$L$20"),"#VALUE!")</f>
        <v>#VALUE!</v>
      </c>
      <c r="V10" s="24"/>
      <c r="W10" s="24"/>
      <c r="X10" s="24"/>
      <c r="Y10" s="24"/>
      <c r="Z10" s="24"/>
      <c r="AA10" s="24"/>
      <c r="AB10" s="24"/>
      <c r="AC10" s="24"/>
      <c r="AD10" s="24"/>
      <c r="AE10" s="24"/>
      <c r="AF10" s="24"/>
    </row>
    <row r="11" ht="22.5" customHeight="1">
      <c r="A11" s="23"/>
      <c r="B11" s="23"/>
      <c r="C11" s="24"/>
      <c r="D11" s="24"/>
      <c r="E11" s="24"/>
      <c r="F11" s="25"/>
      <c r="G11" s="24"/>
      <c r="H11" s="24" t="str">
        <f t="shared" si="1"/>
        <v/>
      </c>
      <c r="I11" s="26" t="str">
        <f t="shared" si="2"/>
        <v/>
      </c>
      <c r="J11" s="27" t="str">
        <f>IF(E11="Treppenhaus",Faktoren!$G$4,IF(E11="Bad",Faktoren!$G$5,IF(E11="Küche",Faktoren!$G$6,IF(E11="Stuck",Faktoren!$G$7,IF(E11="Sprossenfenster",Faktoren!$G$8,IF(E11="Raum Normal",1,IF(E11="","","")))))))</f>
        <v/>
      </c>
      <c r="K11" s="24" t="str">
        <f>IF(E11="Fensterflügel klein",Faktoren!$G$9,IF(E11="Fensterflügel mittel",Faktoren!$G$10,IF(E11="Fensterflügel groß",Faktoren!$G$11,IF(E11="Flur",Faktoren!$G$2,IF(E11="L",Faktoren!$G$3,"")))))</f>
        <v/>
      </c>
      <c r="L11" s="23"/>
      <c r="M11" s="24"/>
      <c r="N11" s="28"/>
      <c r="O11" s="28"/>
      <c r="P11" s="28" t="str">
        <f>IF(A11="Raum",H11*Leistungen!$J$4*(Onboarding!$D$3/60)*(Leistungen!$L$4),"")</f>
        <v/>
      </c>
      <c r="Q11" s="29" t="str">
        <f>IF(A11="Raum",H11*Leistungen!$J$4*(Onboarding!$D$3/60)*(Leistungen!$L$4),"")</f>
        <v/>
      </c>
      <c r="R11" s="24" t="str">
        <f>IFERROR(__xludf.DUMMYFUNCTION("INDEX(SPLIT(L11,"",""),1)"),"#VALUE!")</f>
        <v>#VALUE!</v>
      </c>
      <c r="S11" s="28">
        <f>IFERROR(__xludf.DUMMYFUNCTION("IF(REGEXMATCH(B11,""Decken""),H11,0) + IF(REGEXMATCH(B11,""Wände""),I11,0)*Leistungen!$J$20*(Onboarding!$D$3/60)*Leistungen!$L$20"),0.0)</f>
        <v>0</v>
      </c>
      <c r="T11" s="29">
        <f>IFERROR(__xludf.DUMMYFUNCTION("IF(REGEXMATCH(A11,""Decken""),H11,0) + IF(REGEXMATCH(B11,""Wände""),I11,0)*Leistungen!$J$20*(Onboarding!$D$3/60)*Leistungen!$L$20"),0.0)</f>
        <v>0</v>
      </c>
      <c r="U11" s="30" t="str">
        <f>IFERROR(__xludf.DUMMYFUNCTION("IF(REGEXMATCH(D11,""Decken""),J11,0) + IF(REGEXMATCH(D11,""Wände""),K11,0)*Leistungen!$J$20*(Onboarding!F12/60)*Leistungen!$L$20"),"#VALUE!")</f>
        <v>#VALUE!</v>
      </c>
      <c r="V11" s="24"/>
      <c r="W11" s="24"/>
      <c r="X11" s="24"/>
      <c r="Y11" s="24"/>
      <c r="Z11" s="24"/>
      <c r="AA11" s="24"/>
      <c r="AB11" s="24"/>
      <c r="AC11" s="24"/>
      <c r="AD11" s="24"/>
      <c r="AE11" s="24"/>
      <c r="AF11" s="24"/>
    </row>
    <row r="12" ht="22.5" customHeight="1">
      <c r="A12" s="23"/>
      <c r="B12" s="23"/>
      <c r="C12" s="24"/>
      <c r="D12" s="24"/>
      <c r="E12" s="24"/>
      <c r="F12" s="25"/>
      <c r="G12" s="24"/>
      <c r="H12" s="24" t="str">
        <f t="shared" si="1"/>
        <v/>
      </c>
      <c r="I12" s="26" t="str">
        <f t="shared" si="2"/>
        <v/>
      </c>
      <c r="J12" s="27" t="str">
        <f>IF(E12="Treppenhaus",Faktoren!$G$4,IF(E12="Bad",Faktoren!$G$5,IF(E12="Küche",Faktoren!$G$6,IF(E12="Stuck",Faktoren!$G$7,IF(E12="Sprossenfenster",Faktoren!$G$8,IF(E12="Raum Normal",1,IF(E12="","","")))))))</f>
        <v/>
      </c>
      <c r="K12" s="24" t="str">
        <f>IF(E12="Fensterflügel klein",Faktoren!$G$9,IF(E12="Fensterflügel mittel",Faktoren!$G$10,IF(E12="Fensterflügel groß",Faktoren!$G$11,IF(E12="Flur",Faktoren!$G$2,IF(E12="L",Faktoren!$G$3,"")))))</f>
        <v/>
      </c>
      <c r="L12" s="23"/>
      <c r="M12" s="24"/>
      <c r="N12" s="28"/>
      <c r="O12" s="28"/>
      <c r="P12" s="28" t="str">
        <f>IF(A12="Raum",H12*Leistungen!$J$4*(Onboarding!$D$3/60)*(Leistungen!$L$4),"")</f>
        <v/>
      </c>
      <c r="Q12" s="29" t="str">
        <f>IF(A12="Raum",H12*Leistungen!$J$4*(Onboarding!$D$3/60)*(Leistungen!$L$4),"")</f>
        <v/>
      </c>
      <c r="R12" s="24" t="str">
        <f>IFERROR(__xludf.DUMMYFUNCTION("INDEX(SPLIT(L12,"",""),1)"),"#VALUE!")</f>
        <v>#VALUE!</v>
      </c>
      <c r="S12" s="28">
        <f>IFERROR(__xludf.DUMMYFUNCTION("IF(REGEXMATCH(B12,""Decken""),H12,0) + IF(REGEXMATCH(B12,""Wände""),I12,0)*Leistungen!$J$20*(Onboarding!$D$3/60)*Leistungen!$L$20"),0.0)</f>
        <v>0</v>
      </c>
      <c r="T12" s="29">
        <f>IFERROR(__xludf.DUMMYFUNCTION("IF(REGEXMATCH(A12,""Decken""),H12,0) + IF(REGEXMATCH(B12,""Wände""),I12,0)*Leistungen!$J$20*(Onboarding!$D$3/60)*Leistungen!$L$20"),0.0)</f>
        <v>0</v>
      </c>
      <c r="U12" s="30" t="str">
        <f>IFERROR(__xludf.DUMMYFUNCTION("IF(REGEXMATCH(D12,""Decken""),J12,0) + IF(REGEXMATCH(D12,""Wände""),K12,0)*Leistungen!$J$20*(Onboarding!F13/60)*Leistungen!$L$20"),"#VALUE!")</f>
        <v>#VALUE!</v>
      </c>
      <c r="V12" s="24"/>
      <c r="W12" s="24"/>
      <c r="X12" s="24"/>
      <c r="Y12" s="24"/>
      <c r="Z12" s="24"/>
      <c r="AA12" s="24"/>
      <c r="AB12" s="24"/>
      <c r="AC12" s="24"/>
      <c r="AD12" s="24"/>
      <c r="AE12" s="24"/>
      <c r="AF12" s="24"/>
    </row>
    <row r="13" ht="22.5" customHeight="1">
      <c r="A13" s="23"/>
      <c r="B13" s="23"/>
      <c r="C13" s="24"/>
      <c r="D13" s="24"/>
      <c r="E13" s="24"/>
      <c r="F13" s="25"/>
      <c r="G13" s="24"/>
      <c r="H13" s="24" t="str">
        <f t="shared" si="1"/>
        <v/>
      </c>
      <c r="I13" s="26" t="str">
        <f t="shared" si="2"/>
        <v/>
      </c>
      <c r="J13" s="27" t="str">
        <f>IF(E13="Treppenhaus",Faktoren!$G$4,IF(E13="Bad",Faktoren!$G$5,IF(E13="Küche",Faktoren!$G$6,IF(E13="Stuck",Faktoren!$G$7,IF(E13="Sprossenfenster",Faktoren!$G$8,IF(E13="Raum Normal",1,IF(E13="","","")))))))</f>
        <v/>
      </c>
      <c r="K13" s="24" t="str">
        <f>IF(E13="Fensterflügel klein",Faktoren!$G$9,IF(E13="Fensterflügel mittel",Faktoren!$G$10,IF(E13="Fensterflügel groß",Faktoren!$G$11,IF(E13="Flur",Faktoren!$G$2,IF(E13="L",Faktoren!$G$3,"")))))</f>
        <v/>
      </c>
      <c r="L13" s="23"/>
      <c r="M13" s="24"/>
      <c r="N13" s="28"/>
      <c r="O13" s="28"/>
      <c r="P13" s="28" t="str">
        <f>IF(A13="Raum",H13*Leistungen!$J$4*(Onboarding!$D$3/60)*(Leistungen!$L$4),"")</f>
        <v/>
      </c>
      <c r="Q13" s="29" t="str">
        <f>IF(A13="Raum",H13*Leistungen!$J$4*(Onboarding!$D$3/60)*(Leistungen!$L$4),"")</f>
        <v/>
      </c>
      <c r="R13" s="24" t="str">
        <f>IFERROR(__xludf.DUMMYFUNCTION("INDEX(SPLIT(L13,"",""),1)"),"#VALUE!")</f>
        <v>#VALUE!</v>
      </c>
      <c r="S13" s="28">
        <f>IFERROR(__xludf.DUMMYFUNCTION("IF(REGEXMATCH(B13,""Decken""),H13,0) + IF(REGEXMATCH(B13,""Wände""),I13,0)*Leistungen!$J$20*(Onboarding!$D$3/60)*Leistungen!$L$20"),0.0)</f>
        <v>0</v>
      </c>
      <c r="T13" s="29">
        <f>IFERROR(__xludf.DUMMYFUNCTION("IF(REGEXMATCH(A13,""Decken""),H13,0) + IF(REGEXMATCH(B13,""Wände""),I13,0)*Leistungen!$J$20*(Onboarding!$D$3/60)*Leistungen!$L$20"),0.0)</f>
        <v>0</v>
      </c>
      <c r="U13" s="30" t="str">
        <f>IFERROR(__xludf.DUMMYFUNCTION("IF(REGEXMATCH(D13,""Decken""),J13,0) + IF(REGEXMATCH(D13,""Wände""),K13,0)*Leistungen!$J$20*(Onboarding!F14/60)*Leistungen!$L$20"),"#VALUE!")</f>
        <v>#VALUE!</v>
      </c>
      <c r="V13" s="24"/>
      <c r="W13" s="24"/>
      <c r="X13" s="24"/>
      <c r="Y13" s="24"/>
      <c r="Z13" s="24"/>
      <c r="AA13" s="24"/>
      <c r="AB13" s="24"/>
      <c r="AC13" s="24"/>
      <c r="AD13" s="24"/>
      <c r="AE13" s="24"/>
      <c r="AF13" s="24"/>
    </row>
    <row r="14" ht="22.5" customHeight="1">
      <c r="A14" s="23"/>
      <c r="B14" s="23"/>
      <c r="C14" s="24"/>
      <c r="D14" s="24"/>
      <c r="E14" s="24"/>
      <c r="F14" s="25"/>
      <c r="G14" s="24"/>
      <c r="H14" s="24" t="str">
        <f t="shared" si="1"/>
        <v/>
      </c>
      <c r="I14" s="26" t="str">
        <f t="shared" si="2"/>
        <v/>
      </c>
      <c r="J14" s="27" t="str">
        <f>IF(E14="Treppenhaus",Faktoren!$G$4,IF(E14="Bad",Faktoren!$G$5,IF(E14="Küche",Faktoren!$G$6,IF(E14="Stuck",Faktoren!$G$7,IF(E14="Sprossenfenster",Faktoren!$G$8,IF(E14="Raum Normal",1,IF(E14="","","")))))))</f>
        <v/>
      </c>
      <c r="K14" s="24" t="str">
        <f>IF(E14="Fensterflügel klein",Faktoren!$G$9,IF(E14="Fensterflügel mittel",Faktoren!$G$10,IF(E14="Fensterflügel groß",Faktoren!$G$11,IF(E14="Flur",Faktoren!$G$2,IF(E14="L",Faktoren!$G$3,"")))))</f>
        <v/>
      </c>
      <c r="L14" s="23"/>
      <c r="M14" s="24"/>
      <c r="N14" s="28"/>
      <c r="O14" s="28"/>
      <c r="P14" s="28" t="str">
        <f>IF(A14="Raum",H14*Leistungen!$J$4*(Onboarding!$D$3/60)*(Leistungen!$L$4),"")</f>
        <v/>
      </c>
      <c r="Q14" s="29" t="str">
        <f>IF(A14="Raum",H14*Leistungen!$J$4*(Onboarding!$D$3/60)*(Leistungen!$L$4),"")</f>
        <v/>
      </c>
      <c r="R14" s="24" t="str">
        <f>IFERROR(__xludf.DUMMYFUNCTION("INDEX(SPLIT(L14,"",""),1)"),"#VALUE!")</f>
        <v>#VALUE!</v>
      </c>
      <c r="S14" s="28">
        <f>IFERROR(__xludf.DUMMYFUNCTION("IF(REGEXMATCH(B14,""Decken""),H14,0) + IF(REGEXMATCH(B14,""Wände""),I14,0)*Leistungen!$J$20*(Onboarding!$D$3/60)*Leistungen!$L$20"),0.0)</f>
        <v>0</v>
      </c>
      <c r="T14" s="29">
        <f>IFERROR(__xludf.DUMMYFUNCTION("IF(REGEXMATCH(A14,""Decken""),H14,0) + IF(REGEXMATCH(B14,""Wände""),I14,0)*Leistungen!$J$20*(Onboarding!$D$3/60)*Leistungen!$L$20"),0.0)</f>
        <v>0</v>
      </c>
      <c r="U14" s="30" t="str">
        <f>IFERROR(__xludf.DUMMYFUNCTION("IF(REGEXMATCH(D14,""Decken""),J14,0) + IF(REGEXMATCH(D14,""Wände""),K14,0)*Leistungen!$J$20*(Onboarding!F15/60)*Leistungen!$L$20"),"#VALUE!")</f>
        <v>#VALUE!</v>
      </c>
      <c r="V14" s="24"/>
      <c r="W14" s="24"/>
      <c r="X14" s="24"/>
      <c r="Y14" s="24"/>
      <c r="Z14" s="24"/>
      <c r="AA14" s="24"/>
      <c r="AB14" s="24"/>
      <c r="AC14" s="24"/>
      <c r="AD14" s="24"/>
      <c r="AE14" s="24"/>
      <c r="AF14" s="24"/>
    </row>
    <row r="15" ht="22.5" customHeight="1">
      <c r="A15" s="23"/>
      <c r="B15" s="23"/>
      <c r="C15" s="24"/>
      <c r="D15" s="24"/>
      <c r="E15" s="24"/>
      <c r="F15" s="25"/>
      <c r="G15" s="24"/>
      <c r="H15" s="24" t="str">
        <f t="shared" si="1"/>
        <v/>
      </c>
      <c r="I15" s="26" t="str">
        <f t="shared" si="2"/>
        <v/>
      </c>
      <c r="J15" s="27" t="str">
        <f>IF(E15="Treppenhaus",Faktoren!$G$4,IF(E15="Bad",Faktoren!$G$5,IF(E15="Küche",Faktoren!$G$6,IF(E15="Stuck",Faktoren!$G$7,IF(E15="Sprossenfenster",Faktoren!$G$8,IF(E15="Raum Normal",1,IF(E15="","","")))))))</f>
        <v/>
      </c>
      <c r="K15" s="24" t="str">
        <f>IF(E15="Fensterflügel klein",Faktoren!$G$9,IF(E15="Fensterflügel mittel",Faktoren!$G$10,IF(E15="Fensterflügel groß",Faktoren!$G$11,IF(E15="Flur",Faktoren!$G$2,IF(E15="L",Faktoren!$G$3,"")))))</f>
        <v/>
      </c>
      <c r="L15" s="23"/>
      <c r="M15" s="24"/>
      <c r="N15" s="28"/>
      <c r="O15" s="28"/>
      <c r="P15" s="28" t="str">
        <f>IF(A15="Raum",H15*Leistungen!$J$4*(Onboarding!$D$3/60)*(Leistungen!$L$4),"")</f>
        <v/>
      </c>
      <c r="Q15" s="29" t="str">
        <f>IF(A15="Raum",H15*Leistungen!$J$4*(Onboarding!$D$3/60)*(Leistungen!$L$4),"")</f>
        <v/>
      </c>
      <c r="R15" s="24" t="str">
        <f>IFERROR(__xludf.DUMMYFUNCTION("INDEX(SPLIT(L15,"",""),1)"),"#VALUE!")</f>
        <v>#VALUE!</v>
      </c>
      <c r="S15" s="28">
        <f>IFERROR(__xludf.DUMMYFUNCTION("IF(REGEXMATCH(B15,""Decken""),H15,0) + IF(REGEXMATCH(B15,""Wände""),I15,0)*Leistungen!$J$20*(Onboarding!$D$3/60)*Leistungen!$L$20"),0.0)</f>
        <v>0</v>
      </c>
      <c r="T15" s="29">
        <f>IFERROR(__xludf.DUMMYFUNCTION("IF(REGEXMATCH(A15,""Decken""),H15,0) + IF(REGEXMATCH(B15,""Wände""),I15,0)*Leistungen!$J$20*(Onboarding!$D$3/60)*Leistungen!$L$20"),0.0)</f>
        <v>0</v>
      </c>
      <c r="U15" s="30" t="str">
        <f>IFERROR(__xludf.DUMMYFUNCTION("IF(REGEXMATCH(D15,""Decken""),J15,0) + IF(REGEXMATCH(D15,""Wände""),K15,0)*Leistungen!$J$20*(Onboarding!F16/60)*Leistungen!$L$20"),"#VALUE!")</f>
        <v>#VALUE!</v>
      </c>
      <c r="V15" s="24"/>
      <c r="W15" s="24"/>
      <c r="X15" s="24"/>
      <c r="Y15" s="24"/>
      <c r="Z15" s="24"/>
      <c r="AA15" s="24"/>
      <c r="AB15" s="24"/>
      <c r="AC15" s="24"/>
      <c r="AD15" s="24"/>
      <c r="AE15" s="24"/>
      <c r="AF15" s="24"/>
    </row>
    <row r="16" ht="22.5" customHeight="1">
      <c r="A16" s="23"/>
      <c r="B16" s="23"/>
      <c r="C16" s="24"/>
      <c r="D16" s="24"/>
      <c r="E16" s="24"/>
      <c r="F16" s="25"/>
      <c r="G16" s="24"/>
      <c r="H16" s="24" t="str">
        <f t="shared" si="1"/>
        <v/>
      </c>
      <c r="I16" s="26" t="str">
        <f t="shared" si="2"/>
        <v/>
      </c>
      <c r="J16" s="27" t="str">
        <f>IF(E16="Treppenhaus",Faktoren!$G$4,IF(E16="Bad",Faktoren!$G$5,IF(E16="Küche",Faktoren!$G$6,IF(E16="Stuck",Faktoren!$G$7,IF(E16="Sprossenfenster",Faktoren!$G$8,IF(E16="Raum Normal",1,IF(E16="","","")))))))</f>
        <v/>
      </c>
      <c r="K16" s="24" t="str">
        <f>IF(E16="Fensterflügel klein",Faktoren!$G$9,IF(E16="Fensterflügel mittel",Faktoren!$G$10,IF(E16="Fensterflügel groß",Faktoren!$G$11,IF(E16="Flur",Faktoren!$G$2,IF(E16="L",Faktoren!$G$3,"")))))</f>
        <v/>
      </c>
      <c r="L16" s="23"/>
      <c r="M16" s="24"/>
      <c r="N16" s="28"/>
      <c r="O16" s="28"/>
      <c r="P16" s="28" t="str">
        <f>IF(A16="Raum",H16*Leistungen!$J$4*(Onboarding!$D$3/60)*(Leistungen!$L$4),"")</f>
        <v/>
      </c>
      <c r="Q16" s="29" t="str">
        <f>IF(A16="Raum",H16*Leistungen!$J$4*(Onboarding!$D$3/60)*(Leistungen!$L$4),"")</f>
        <v/>
      </c>
      <c r="R16" s="24" t="str">
        <f>IFERROR(__xludf.DUMMYFUNCTION("INDEX(SPLIT(L16,"",""),1)"),"#VALUE!")</f>
        <v>#VALUE!</v>
      </c>
      <c r="S16" s="28">
        <f>IFERROR(__xludf.DUMMYFUNCTION("IF(REGEXMATCH(B16,""Decken""),H16,0) + IF(REGEXMATCH(B16,""Wände""),I16,0)*Leistungen!$J$20*(Onboarding!$D$3/60)*Leistungen!$L$20"),0.0)</f>
        <v>0</v>
      </c>
      <c r="T16" s="29">
        <f>IFERROR(__xludf.DUMMYFUNCTION("IF(REGEXMATCH(A16,""Decken""),H16,0) + IF(REGEXMATCH(B16,""Wände""),I16,0)*Leistungen!$J$20*(Onboarding!$D$3/60)*Leistungen!$L$20"),0.0)</f>
        <v>0</v>
      </c>
      <c r="U16" s="30" t="str">
        <f>IFERROR(__xludf.DUMMYFUNCTION("IF(REGEXMATCH(D16,""Decken""),J16,0) + IF(REGEXMATCH(D16,""Wände""),K16,0)*Leistungen!$J$20*(Onboarding!F17/60)*Leistungen!$L$20"),"#VALUE!")</f>
        <v>#VALUE!</v>
      </c>
      <c r="V16" s="24"/>
      <c r="W16" s="24"/>
      <c r="X16" s="24"/>
      <c r="Y16" s="24"/>
      <c r="Z16" s="24"/>
      <c r="AA16" s="24"/>
      <c r="AB16" s="24"/>
      <c r="AC16" s="24"/>
      <c r="AD16" s="24"/>
      <c r="AE16" s="24"/>
      <c r="AF16" s="24"/>
    </row>
    <row r="17" ht="22.5" customHeight="1">
      <c r="A17" s="23"/>
      <c r="B17" s="23"/>
      <c r="C17" s="24"/>
      <c r="D17" s="24"/>
      <c r="E17" s="24"/>
      <c r="F17" s="25"/>
      <c r="G17" s="24"/>
      <c r="H17" s="24" t="str">
        <f t="shared" si="1"/>
        <v/>
      </c>
      <c r="I17" s="26" t="str">
        <f t="shared" si="2"/>
        <v/>
      </c>
      <c r="J17" s="27" t="str">
        <f>IF(E17="Treppenhaus",Faktoren!$G$4,IF(E17="Bad",Faktoren!$G$5,IF(E17="Küche",Faktoren!$G$6,IF(E17="Stuck",Faktoren!$G$7,IF(E17="Sprossenfenster",Faktoren!$G$8,IF(E17="Raum Normal",1,IF(E17="","","")))))))</f>
        <v/>
      </c>
      <c r="K17" s="24" t="str">
        <f>IF(E17="Fensterflügel klein",Faktoren!$G$9,IF(E17="Fensterflügel mittel",Faktoren!$G$10,IF(E17="Fensterflügel groß",Faktoren!$G$11,IF(E17="Flur",Faktoren!$G$2,IF(E17="L",Faktoren!$G$3,"")))))</f>
        <v/>
      </c>
      <c r="L17" s="23"/>
      <c r="M17" s="24"/>
      <c r="N17" s="28"/>
      <c r="O17" s="28"/>
      <c r="P17" s="28" t="str">
        <f>IF(A17="Raum",H17*Leistungen!$J$4*(Onboarding!$D$3/60)*(Leistungen!$L$4),"")</f>
        <v/>
      </c>
      <c r="Q17" s="29" t="str">
        <f>IF(A17="Raum",H17*Leistungen!$J$4*(Onboarding!$D$3/60)*(Leistungen!$L$4),"")</f>
        <v/>
      </c>
      <c r="R17" s="24" t="str">
        <f>IFERROR(__xludf.DUMMYFUNCTION("INDEX(SPLIT(L17,"",""),1)"),"#VALUE!")</f>
        <v>#VALUE!</v>
      </c>
      <c r="S17" s="28">
        <f>IFERROR(__xludf.DUMMYFUNCTION("IF(REGEXMATCH(B17,""Decken""),H17,0) + IF(REGEXMATCH(B17,""Wände""),I17,0)*Leistungen!$J$20*(Onboarding!$D$3/60)*Leistungen!$L$20"),0.0)</f>
        <v>0</v>
      </c>
      <c r="T17" s="29">
        <f>IFERROR(__xludf.DUMMYFUNCTION("IF(REGEXMATCH(A17,""Decken""),H17,0) + IF(REGEXMATCH(B17,""Wände""),I17,0)*Leistungen!$J$20*(Onboarding!$D$3/60)*Leistungen!$L$20"),0.0)</f>
        <v>0</v>
      </c>
      <c r="U17" s="30" t="str">
        <f>IFERROR(__xludf.DUMMYFUNCTION("IF(REGEXMATCH(D17,""Decken""),J17,0) + IF(REGEXMATCH(D17,""Wände""),K17,0)*Leistungen!$J$20*(Onboarding!F18/60)*Leistungen!$L$20"),"#VALUE!")</f>
        <v>#VALUE!</v>
      </c>
      <c r="V17" s="24"/>
      <c r="W17" s="24"/>
      <c r="X17" s="24"/>
      <c r="Y17" s="24"/>
      <c r="Z17" s="24"/>
      <c r="AA17" s="24"/>
      <c r="AB17" s="24"/>
      <c r="AC17" s="24"/>
      <c r="AD17" s="24"/>
      <c r="AE17" s="24"/>
      <c r="AF17" s="24"/>
    </row>
    <row r="18" ht="22.5" customHeight="1">
      <c r="A18" s="23"/>
      <c r="B18" s="23"/>
      <c r="C18" s="24"/>
      <c r="D18" s="24"/>
      <c r="E18" s="24"/>
      <c r="F18" s="25"/>
      <c r="G18" s="24"/>
      <c r="H18" s="24" t="str">
        <f t="shared" si="1"/>
        <v/>
      </c>
      <c r="I18" s="26" t="str">
        <f t="shared" si="2"/>
        <v/>
      </c>
      <c r="J18" s="27" t="str">
        <f>IF(E18="Treppenhaus",Faktoren!$G$4,IF(E18="Bad",Faktoren!$G$5,IF(E18="Küche",Faktoren!$G$6,IF(E18="Stuck",Faktoren!$G$7,IF(E18="Sprossenfenster",Faktoren!$G$8,IF(E18="Raum Normal",1,IF(E18="","","")))))))</f>
        <v/>
      </c>
      <c r="K18" s="24" t="str">
        <f>IF(E18="Fensterflügel klein",Faktoren!$G$9,IF(E18="Fensterflügel mittel",Faktoren!$G$10,IF(E18="Fensterflügel groß",Faktoren!$G$11,IF(E18="Flur",Faktoren!$G$2,IF(E18="L",Faktoren!$G$3,"")))))</f>
        <v/>
      </c>
      <c r="L18" s="23"/>
      <c r="M18" s="24"/>
      <c r="N18" s="28"/>
      <c r="O18" s="28"/>
      <c r="P18" s="28" t="str">
        <f>IF(A18="Raum",H18*Leistungen!$J$4*(Onboarding!$D$3/60)*(Leistungen!$L$4),"")</f>
        <v/>
      </c>
      <c r="Q18" s="29" t="str">
        <f>IF(A18="Raum",H18*Leistungen!$J$4*(Onboarding!$D$3/60)*(Leistungen!$L$4),"")</f>
        <v/>
      </c>
      <c r="R18" s="24" t="str">
        <f>IFERROR(__xludf.DUMMYFUNCTION("INDEX(SPLIT(L18,"",""),1)"),"#VALUE!")</f>
        <v>#VALUE!</v>
      </c>
      <c r="S18" s="28">
        <f>IFERROR(__xludf.DUMMYFUNCTION("IF(REGEXMATCH(B18,""Decken""),H18,0) + IF(REGEXMATCH(B18,""Wände""),I18,0)*Leistungen!$J$20*(Onboarding!$D$3/60)*Leistungen!$L$20"),0.0)</f>
        <v>0</v>
      </c>
      <c r="T18" s="29">
        <f>IFERROR(__xludf.DUMMYFUNCTION("IF(REGEXMATCH(A18,""Decken""),H18,0) + IF(REGEXMATCH(B18,""Wände""),I18,0)*Leistungen!$J$20*(Onboarding!$D$3/60)*Leistungen!$L$20"),0.0)</f>
        <v>0</v>
      </c>
      <c r="U18" s="30" t="str">
        <f>IFERROR(__xludf.DUMMYFUNCTION("IF(REGEXMATCH(D18,""Decken""),J18,0) + IF(REGEXMATCH(D18,""Wände""),K18,0)*Leistungen!$J$20*(Onboarding!F19/60)*Leistungen!$L$20"),"#VALUE!")</f>
        <v>#VALUE!</v>
      </c>
      <c r="V18" s="24"/>
      <c r="W18" s="24"/>
      <c r="X18" s="24"/>
      <c r="Y18" s="24"/>
      <c r="Z18" s="24"/>
      <c r="AA18" s="24"/>
      <c r="AB18" s="24"/>
      <c r="AC18" s="24"/>
      <c r="AD18" s="24"/>
      <c r="AE18" s="24"/>
      <c r="AF18" s="24"/>
    </row>
    <row r="19" ht="22.5" customHeight="1">
      <c r="A19" s="23"/>
      <c r="B19" s="23"/>
      <c r="C19" s="24"/>
      <c r="D19" s="24"/>
      <c r="E19" s="24"/>
      <c r="F19" s="25"/>
      <c r="G19" s="24"/>
      <c r="H19" s="24" t="str">
        <f t="shared" si="1"/>
        <v/>
      </c>
      <c r="I19" s="26" t="str">
        <f t="shared" si="2"/>
        <v/>
      </c>
      <c r="J19" s="27" t="str">
        <f>IF(E19="Treppenhaus",Faktoren!$G$4,IF(E19="Bad",Faktoren!$G$5,IF(E19="Küche",Faktoren!$G$6,IF(E19="Stuck",Faktoren!$G$7,IF(E19="Sprossenfenster",Faktoren!$G$8,IF(E19="Raum Normal",1,IF(E19="","","")))))))</f>
        <v/>
      </c>
      <c r="K19" s="24" t="str">
        <f>IF(E19="Fensterflügel klein",Faktoren!$G$9,IF(E19="Fensterflügel mittel",Faktoren!$G$10,IF(E19="Fensterflügel groß",Faktoren!$G$11,IF(E19="Flur",Faktoren!$G$2,IF(E19="L",Faktoren!$G$3,"")))))</f>
        <v/>
      </c>
      <c r="L19" s="23"/>
      <c r="M19" s="24"/>
      <c r="N19" s="28"/>
      <c r="O19" s="28"/>
      <c r="P19" s="28" t="str">
        <f>IF(A19="Raum",H19*Leistungen!$J$4*(Onboarding!$D$3/60)*(Leistungen!$L$4),"")</f>
        <v/>
      </c>
      <c r="Q19" s="29" t="str">
        <f>IF(A19="Raum",H19*Leistungen!$J$4*(Onboarding!$D$3/60)*(Leistungen!$L$4),"")</f>
        <v/>
      </c>
      <c r="R19" s="24" t="str">
        <f>IFERROR(__xludf.DUMMYFUNCTION("INDEX(SPLIT(L19,"",""),1)"),"#VALUE!")</f>
        <v>#VALUE!</v>
      </c>
      <c r="S19" s="28">
        <f>IFERROR(__xludf.DUMMYFUNCTION("IF(REGEXMATCH(B19,""Decken""),H19,0) + IF(REGEXMATCH(B19,""Wände""),I19,0)*Leistungen!$J$20*(Onboarding!$D$3/60)*Leistungen!$L$20"),0.0)</f>
        <v>0</v>
      </c>
      <c r="T19" s="29">
        <f>IFERROR(__xludf.DUMMYFUNCTION("IF(REGEXMATCH(A19,""Decken""),H19,0) + IF(REGEXMATCH(B19,""Wände""),I19,0)*Leistungen!$J$20*(Onboarding!$D$3/60)*Leistungen!$L$20"),0.0)</f>
        <v>0</v>
      </c>
      <c r="U19" s="30" t="str">
        <f>IFERROR(__xludf.DUMMYFUNCTION("IF(REGEXMATCH(D19,""Decken""),J19,0) + IF(REGEXMATCH(D19,""Wände""),K19,0)*Leistungen!$J$20*(Onboarding!F20/60)*Leistungen!$L$20"),"#VALUE!")</f>
        <v>#VALUE!</v>
      </c>
      <c r="V19" s="24"/>
      <c r="W19" s="24"/>
      <c r="X19" s="24"/>
      <c r="Y19" s="24"/>
      <c r="Z19" s="24"/>
      <c r="AA19" s="24"/>
      <c r="AB19" s="24"/>
      <c r="AC19" s="24"/>
      <c r="AD19" s="24"/>
      <c r="AE19" s="24"/>
      <c r="AF19" s="24"/>
    </row>
    <row r="20" ht="22.5" customHeight="1">
      <c r="A20" s="23"/>
      <c r="B20" s="23"/>
      <c r="C20" s="24"/>
      <c r="D20" s="24"/>
      <c r="E20" s="24"/>
      <c r="F20" s="25"/>
      <c r="G20" s="24"/>
      <c r="H20" s="24" t="str">
        <f t="shared" si="1"/>
        <v/>
      </c>
      <c r="I20" s="26" t="str">
        <f t="shared" si="2"/>
        <v/>
      </c>
      <c r="J20" s="27" t="str">
        <f>IF(E20="Treppenhaus",Faktoren!$G$4,IF(E20="Bad",Faktoren!$G$5,IF(E20="Küche",Faktoren!$G$6,IF(E20="Stuck",Faktoren!$G$7,IF(E20="Sprossenfenster",Faktoren!$G$8,IF(E20="Raum Normal",1,IF(E20="","","")))))))</f>
        <v/>
      </c>
      <c r="K20" s="24" t="str">
        <f>IF(E20="Fensterflügel klein",Faktoren!$G$9,IF(E20="Fensterflügel mittel",Faktoren!$G$10,IF(E20="Fensterflügel groß",Faktoren!$G$11,IF(E20="Flur",Faktoren!$G$2,IF(E20="L",Faktoren!$G$3,"")))))</f>
        <v/>
      </c>
      <c r="L20" s="23"/>
      <c r="M20" s="24"/>
      <c r="N20" s="28"/>
      <c r="O20" s="28"/>
      <c r="P20" s="28" t="str">
        <f>IF(A20="Raum",H20*Leistungen!$J$4*(Onboarding!$D$3/60)*(Leistungen!$L$4),"")</f>
        <v/>
      </c>
      <c r="Q20" s="29" t="str">
        <f>IF(A20="Raum",H20*Leistungen!$J$4*(Onboarding!$D$3/60)*(Leistungen!$L$4),"")</f>
        <v/>
      </c>
      <c r="R20" s="24" t="str">
        <f>IFERROR(__xludf.DUMMYFUNCTION("INDEX(SPLIT(L20,"",""),1)"),"#VALUE!")</f>
        <v>#VALUE!</v>
      </c>
      <c r="S20" s="28">
        <f>IFERROR(__xludf.DUMMYFUNCTION("IF(REGEXMATCH(B20,""Decken""),H20,0) + IF(REGEXMATCH(B20,""Wände""),I20,0)*Leistungen!$J$20*(Onboarding!$D$3/60)*Leistungen!$L$20"),0.0)</f>
        <v>0</v>
      </c>
      <c r="T20" s="29">
        <f>IFERROR(__xludf.DUMMYFUNCTION("IF(REGEXMATCH(A20,""Decken""),H20,0) + IF(REGEXMATCH(B20,""Wände""),I20,0)*Leistungen!$J$20*(Onboarding!$D$3/60)*Leistungen!$L$20"),0.0)</f>
        <v>0</v>
      </c>
      <c r="U20" s="30" t="str">
        <f>IFERROR(__xludf.DUMMYFUNCTION("IF(REGEXMATCH(D20,""Decken""),J20,0) + IF(REGEXMATCH(D20,""Wände""),K20,0)*Leistungen!$J$20*(Onboarding!F21/60)*Leistungen!$L$20"),"#VALUE!")</f>
        <v>#VALUE!</v>
      </c>
      <c r="V20" s="24"/>
      <c r="W20" s="24"/>
      <c r="X20" s="24"/>
      <c r="Y20" s="24"/>
      <c r="Z20" s="24"/>
      <c r="AA20" s="24"/>
      <c r="AB20" s="24"/>
      <c r="AC20" s="24"/>
      <c r="AD20" s="24"/>
      <c r="AE20" s="24"/>
      <c r="AF20" s="24"/>
    </row>
    <row r="21" ht="22.5" customHeight="1">
      <c r="A21" s="23"/>
      <c r="B21" s="23"/>
      <c r="C21" s="24"/>
      <c r="D21" s="24"/>
      <c r="E21" s="24"/>
      <c r="F21" s="25"/>
      <c r="G21" s="24"/>
      <c r="H21" s="24" t="str">
        <f t="shared" si="1"/>
        <v/>
      </c>
      <c r="I21" s="26" t="str">
        <f t="shared" si="2"/>
        <v/>
      </c>
      <c r="J21" s="27" t="str">
        <f>IF(E21="Treppenhaus",Faktoren!$G$4,IF(E21="Bad",Faktoren!$G$5,IF(E21="Küche",Faktoren!$G$6,IF(E21="Stuck",Faktoren!$G$7,IF(E21="Sprossenfenster",Faktoren!$G$8,IF(E21="Raum Normal",1,IF(E21="","","")))))))</f>
        <v/>
      </c>
      <c r="K21" s="24" t="str">
        <f>IF(E21="Fensterflügel klein",Faktoren!$G$9,IF(E21="Fensterflügel mittel",Faktoren!$G$10,IF(E21="Fensterflügel groß",Faktoren!$G$11,IF(E21="Flur",Faktoren!$G$2,IF(E21="L",Faktoren!$G$3,"")))))</f>
        <v/>
      </c>
      <c r="L21" s="23"/>
      <c r="M21" s="24"/>
      <c r="N21" s="28"/>
      <c r="O21" s="28"/>
      <c r="P21" s="28" t="str">
        <f>IF(A21="Raum",H21*Leistungen!$J$4*(Onboarding!$D$3/60)*(Leistungen!$L$4),"")</f>
        <v/>
      </c>
      <c r="Q21" s="29" t="str">
        <f>IF(A21="Raum",H21*Leistungen!$J$4*(Onboarding!$D$3/60)*(Leistungen!$L$4),"")</f>
        <v/>
      </c>
      <c r="R21" s="24" t="str">
        <f>IFERROR(__xludf.DUMMYFUNCTION("INDEX(SPLIT(L21,"",""),1)"),"#VALUE!")</f>
        <v>#VALUE!</v>
      </c>
      <c r="S21" s="28">
        <f>IFERROR(__xludf.DUMMYFUNCTION("IF(REGEXMATCH(B21,""Decken""),H21,0) + IF(REGEXMATCH(B21,""Wände""),I21,0)*Leistungen!$J$20*(Onboarding!$D$3/60)*Leistungen!$L$20"),0.0)</f>
        <v>0</v>
      </c>
      <c r="T21" s="29">
        <f>IFERROR(__xludf.DUMMYFUNCTION("IF(REGEXMATCH(A21,""Decken""),H21,0) + IF(REGEXMATCH(B21,""Wände""),I21,0)*Leistungen!$J$20*(Onboarding!$D$3/60)*Leistungen!$L$20"),0.0)</f>
        <v>0</v>
      </c>
      <c r="U21" s="30" t="str">
        <f>IFERROR(__xludf.DUMMYFUNCTION("IF(REGEXMATCH(D21,""Decken""),J21,0) + IF(REGEXMATCH(D21,""Wände""),K21,0)*Leistungen!$J$20*(Onboarding!F22/60)*Leistungen!$L$20"),"#VALUE!")</f>
        <v>#VALUE!</v>
      </c>
      <c r="V21" s="24"/>
      <c r="W21" s="24"/>
      <c r="X21" s="24"/>
      <c r="Y21" s="24"/>
      <c r="Z21" s="24"/>
      <c r="AA21" s="24"/>
      <c r="AB21" s="24"/>
      <c r="AC21" s="24"/>
      <c r="AD21" s="24"/>
      <c r="AE21" s="24"/>
      <c r="AF21" s="24"/>
    </row>
    <row r="22" ht="22.5" customHeight="1">
      <c r="A22" s="23"/>
      <c r="B22" s="23"/>
      <c r="C22" s="24"/>
      <c r="D22" s="24"/>
      <c r="E22" s="24"/>
      <c r="F22" s="25"/>
      <c r="G22" s="24"/>
      <c r="H22" s="24" t="str">
        <f t="shared" si="1"/>
        <v/>
      </c>
      <c r="I22" s="26" t="str">
        <f t="shared" si="2"/>
        <v/>
      </c>
      <c r="J22" s="27" t="str">
        <f>IF(E22="Treppenhaus",Faktoren!$G$4,IF(E22="Bad",Faktoren!$G$5,IF(E22="Küche",Faktoren!$G$6,IF(E22="Stuck",Faktoren!$G$7,IF(E22="Sprossenfenster",Faktoren!$G$8,IF(E22="Raum Normal",1,IF(E22="","","")))))))</f>
        <v/>
      </c>
      <c r="K22" s="24" t="str">
        <f>IF(E22="Fensterflügel klein",Faktoren!$G$9,IF(E22="Fensterflügel mittel",Faktoren!$G$10,IF(E22="Fensterflügel groß",Faktoren!$G$11,IF(E22="Flur",Faktoren!$G$2,IF(E22="L",Faktoren!$G$3,"")))))</f>
        <v/>
      </c>
      <c r="L22" s="23"/>
      <c r="M22" s="24"/>
      <c r="N22" s="28"/>
      <c r="O22" s="28"/>
      <c r="P22" s="28" t="str">
        <f>IF(A22="Raum",H22*Leistungen!$J$4*(Onboarding!$D$3/60)*(Leistungen!$L$4),"")</f>
        <v/>
      </c>
      <c r="Q22" s="29" t="str">
        <f>IF(A22="Raum",H22*Leistungen!$J$4*(Onboarding!$D$3/60)*(Leistungen!$L$4),"")</f>
        <v/>
      </c>
      <c r="R22" s="24" t="str">
        <f>IFERROR(__xludf.DUMMYFUNCTION("INDEX(SPLIT(L22,"",""),1)"),"#VALUE!")</f>
        <v>#VALUE!</v>
      </c>
      <c r="S22" s="28">
        <f>IFERROR(__xludf.DUMMYFUNCTION("IF(REGEXMATCH(B22,""Decken""),H22,0) + IF(REGEXMATCH(B22,""Wände""),I22,0)*Leistungen!$J$20*(Onboarding!$D$3/60)*Leistungen!$L$20"),0.0)</f>
        <v>0</v>
      </c>
      <c r="T22" s="29">
        <f>IFERROR(__xludf.DUMMYFUNCTION("IF(REGEXMATCH(A22,""Decken""),H22,0) + IF(REGEXMATCH(B22,""Wände""),I22,0)*Leistungen!$J$20*(Onboarding!$D$3/60)*Leistungen!$L$20"),0.0)</f>
        <v>0</v>
      </c>
      <c r="U22" s="30" t="str">
        <f>IFERROR(__xludf.DUMMYFUNCTION("IF(REGEXMATCH(D22,""Decken""),J22,0) + IF(REGEXMATCH(D22,""Wände""),K22,0)*Leistungen!$J$20*(Onboarding!F23/60)*Leistungen!$L$20"),"#VALUE!")</f>
        <v>#VALUE!</v>
      </c>
      <c r="V22" s="24"/>
      <c r="W22" s="24"/>
      <c r="X22" s="24"/>
      <c r="Y22" s="24"/>
      <c r="Z22" s="24"/>
      <c r="AA22" s="24"/>
      <c r="AB22" s="24"/>
      <c r="AC22" s="24"/>
      <c r="AD22" s="24"/>
      <c r="AE22" s="24"/>
      <c r="AF22" s="24"/>
    </row>
    <row r="23" ht="22.5" customHeight="1">
      <c r="A23" s="23"/>
      <c r="B23" s="23"/>
      <c r="C23" s="24"/>
      <c r="D23" s="24"/>
      <c r="E23" s="24"/>
      <c r="F23" s="25"/>
      <c r="G23" s="24"/>
      <c r="H23" s="24" t="str">
        <f t="shared" si="1"/>
        <v/>
      </c>
      <c r="I23" s="26" t="str">
        <f t="shared" si="2"/>
        <v/>
      </c>
      <c r="J23" s="27" t="str">
        <f>IF(E23="Treppenhaus",Faktoren!$G$4,IF(E23="Bad",Faktoren!$G$5,IF(E23="Küche",Faktoren!$G$6,IF(E23="Stuck",Faktoren!$G$7,IF(E23="Sprossenfenster",Faktoren!$G$8,IF(E23="Raum Normal",1,IF(E23="","","")))))))</f>
        <v/>
      </c>
      <c r="K23" s="24" t="str">
        <f>IF(E23="Fensterflügel klein",Faktoren!$G$9,IF(E23="Fensterflügel mittel",Faktoren!$G$10,IF(E23="Fensterflügel groß",Faktoren!$G$11,IF(E23="Flur",Faktoren!$G$2,IF(E23="L",Faktoren!$G$3,"")))))</f>
        <v/>
      </c>
      <c r="L23" s="23"/>
      <c r="M23" s="24"/>
      <c r="N23" s="28"/>
      <c r="O23" s="28"/>
      <c r="P23" s="28" t="str">
        <f>IF(A23="Raum",H23*Leistungen!$J$4*(Onboarding!$D$3/60)*(Leistungen!$L$4),"")</f>
        <v/>
      </c>
      <c r="Q23" s="29" t="str">
        <f>IF(A23="Raum",H23*Leistungen!$J$4*(Onboarding!$D$3/60)*(Leistungen!$L$4),"")</f>
        <v/>
      </c>
      <c r="R23" s="24" t="str">
        <f>IFERROR(__xludf.DUMMYFUNCTION("INDEX(SPLIT(L23,"",""),1)"),"#VALUE!")</f>
        <v>#VALUE!</v>
      </c>
      <c r="S23" s="28">
        <f>IFERROR(__xludf.DUMMYFUNCTION("IF(REGEXMATCH(B23,""Decken""),H23,0) + IF(REGEXMATCH(B23,""Wände""),I23,0)*Leistungen!$J$20*(Onboarding!$D$3/60)*Leistungen!$L$20"),0.0)</f>
        <v>0</v>
      </c>
      <c r="T23" s="29">
        <f>IFERROR(__xludf.DUMMYFUNCTION("IF(REGEXMATCH(A23,""Decken""),H23,0) + IF(REGEXMATCH(B23,""Wände""),I23,0)*Leistungen!$J$20*(Onboarding!$D$3/60)*Leistungen!$L$20"),0.0)</f>
        <v>0</v>
      </c>
      <c r="U23" s="30" t="str">
        <f>IFERROR(__xludf.DUMMYFUNCTION("IF(REGEXMATCH(D23,""Decken""),J23,0) + IF(REGEXMATCH(D23,""Wände""),K23,0)*Leistungen!$J$20*(Onboarding!F24/60)*Leistungen!$L$20"),"#VALUE!")</f>
        <v>#VALUE!</v>
      </c>
      <c r="V23" s="24"/>
      <c r="W23" s="24"/>
      <c r="X23" s="24"/>
      <c r="Y23" s="24"/>
      <c r="Z23" s="24"/>
      <c r="AA23" s="24"/>
      <c r="AB23" s="24"/>
      <c r="AC23" s="24"/>
      <c r="AD23" s="24"/>
      <c r="AE23" s="24"/>
      <c r="AF23" s="24"/>
    </row>
    <row r="24" ht="22.5" customHeight="1">
      <c r="A24" s="23"/>
      <c r="B24" s="23"/>
      <c r="C24" s="24"/>
      <c r="D24" s="24"/>
      <c r="E24" s="24"/>
      <c r="F24" s="25"/>
      <c r="G24" s="24"/>
      <c r="H24" s="24" t="str">
        <f t="shared" si="1"/>
        <v/>
      </c>
      <c r="I24" s="26" t="str">
        <f t="shared" si="2"/>
        <v/>
      </c>
      <c r="J24" s="27" t="str">
        <f>IF(E24="Treppenhaus",Faktoren!$G$4,IF(E24="Bad",Faktoren!$G$5,IF(E24="Küche",Faktoren!$G$6,IF(E24="Stuck",Faktoren!$G$7,IF(E24="Sprossenfenster",Faktoren!$G$8,IF(E24="Raum Normal",1,IF(E24="","","")))))))</f>
        <v/>
      </c>
      <c r="K24" s="24" t="str">
        <f>IF(E24="Fensterflügel klein",Faktoren!$G$9,IF(E24="Fensterflügel mittel",Faktoren!$G$10,IF(E24="Fensterflügel groß",Faktoren!$G$11,IF(E24="Flur",Faktoren!$G$2,IF(E24="L",Faktoren!$G$3,"")))))</f>
        <v/>
      </c>
      <c r="L24" s="23"/>
      <c r="M24" s="24"/>
      <c r="N24" s="28"/>
      <c r="O24" s="28"/>
      <c r="P24" s="28" t="str">
        <f>IF(A24="Raum",H24*Leistungen!$J$4*(Onboarding!$D$3/60)*(Leistungen!$L$4),"")</f>
        <v/>
      </c>
      <c r="Q24" s="29" t="str">
        <f>IF(A24="Raum",H24*Leistungen!$J$4*(Onboarding!$D$3/60)*(Leistungen!$L$4),"")</f>
        <v/>
      </c>
      <c r="R24" s="24" t="str">
        <f>IFERROR(__xludf.DUMMYFUNCTION("INDEX(SPLIT(L24,"",""),1)"),"#VALUE!")</f>
        <v>#VALUE!</v>
      </c>
      <c r="S24" s="28">
        <f>IFERROR(__xludf.DUMMYFUNCTION("IF(REGEXMATCH(B24,""Decken""),H24,0) + IF(REGEXMATCH(B24,""Wände""),I24,0)*Leistungen!$J$20*(Onboarding!$D$3/60)*Leistungen!$L$20"),0.0)</f>
        <v>0</v>
      </c>
      <c r="T24" s="29">
        <f>IFERROR(__xludf.DUMMYFUNCTION("IF(REGEXMATCH(A24,""Decken""),H24,0) + IF(REGEXMATCH(B24,""Wände""),I24,0)*Leistungen!$J$20*(Onboarding!$D$3/60)*Leistungen!$L$20"),0.0)</f>
        <v>0</v>
      </c>
      <c r="U24" s="30" t="str">
        <f>IFERROR(__xludf.DUMMYFUNCTION("IF(REGEXMATCH(D24,""Decken""),J24,0) + IF(REGEXMATCH(D24,""Wände""),K24,0)*Leistungen!$J$20*(Onboarding!F25/60)*Leistungen!$L$20"),"#VALUE!")</f>
        <v>#VALUE!</v>
      </c>
      <c r="V24" s="24"/>
      <c r="W24" s="24"/>
      <c r="X24" s="24"/>
      <c r="Y24" s="24"/>
      <c r="Z24" s="24"/>
      <c r="AA24" s="24"/>
      <c r="AB24" s="24"/>
      <c r="AC24" s="24"/>
      <c r="AD24" s="24"/>
      <c r="AE24" s="24"/>
      <c r="AF24" s="24"/>
    </row>
    <row r="25" ht="22.5" customHeight="1">
      <c r="A25" s="23"/>
      <c r="B25" s="23"/>
      <c r="C25" s="24"/>
      <c r="D25" s="24"/>
      <c r="E25" s="24"/>
      <c r="F25" s="25"/>
      <c r="G25" s="24"/>
      <c r="H25" s="24" t="str">
        <f t="shared" si="1"/>
        <v/>
      </c>
      <c r="I25" s="26" t="str">
        <f t="shared" si="2"/>
        <v/>
      </c>
      <c r="J25" s="27" t="str">
        <f>IF(E25="Treppenhaus",Faktoren!$G$4,IF(E25="Bad",Faktoren!$G$5,IF(E25="Küche",Faktoren!$G$6,IF(E25="Stuck",Faktoren!$G$7,IF(E25="Sprossenfenster",Faktoren!$G$8,IF(E25="Raum Normal",1,IF(E25="","","")))))))</f>
        <v/>
      </c>
      <c r="K25" s="24" t="str">
        <f>IF(E25="Fensterflügel klein",Faktoren!$G$9,IF(E25="Fensterflügel mittel",Faktoren!$G$10,IF(E25="Fensterflügel groß",Faktoren!$G$11,IF(E25="Flur",Faktoren!$G$2,IF(E25="L",Faktoren!$G$3,"")))))</f>
        <v/>
      </c>
      <c r="L25" s="23"/>
      <c r="M25" s="24"/>
      <c r="N25" s="28"/>
      <c r="O25" s="28"/>
      <c r="P25" s="28" t="str">
        <f>IF(A25="Raum",H25*Leistungen!$J$4*(Onboarding!$D$3/60)*(Leistungen!$L$4),"")</f>
        <v/>
      </c>
      <c r="Q25" s="29" t="str">
        <f>IF(A25="Raum",H25*Leistungen!$J$4*(Onboarding!$D$3/60)*(Leistungen!$L$4),"")</f>
        <v/>
      </c>
      <c r="R25" s="24" t="str">
        <f>IFERROR(__xludf.DUMMYFUNCTION("INDEX(SPLIT(L25,"",""),1)"),"#VALUE!")</f>
        <v>#VALUE!</v>
      </c>
      <c r="S25" s="28">
        <f>IFERROR(__xludf.DUMMYFUNCTION("IF(REGEXMATCH(B25,""Decken""),H25,0) + IF(REGEXMATCH(B25,""Wände""),I25,0)*Leistungen!$J$20*(Onboarding!$D$3/60)*Leistungen!$L$20"),0.0)</f>
        <v>0</v>
      </c>
      <c r="T25" s="29">
        <f>IFERROR(__xludf.DUMMYFUNCTION("IF(REGEXMATCH(A25,""Decken""),H25,0) + IF(REGEXMATCH(B25,""Wände""),I25,0)*Leistungen!$J$20*(Onboarding!$D$3/60)*Leistungen!$L$20"),0.0)</f>
        <v>0</v>
      </c>
      <c r="U25" s="30" t="str">
        <f>IFERROR(__xludf.DUMMYFUNCTION("IF(REGEXMATCH(D25,""Decken""),J25,0) + IF(REGEXMATCH(D25,""Wände""),K25,0)*Leistungen!$J$20*(Onboarding!F26/60)*Leistungen!$L$20"),"#VALUE!")</f>
        <v>#VALUE!</v>
      </c>
      <c r="V25" s="24"/>
      <c r="W25" s="24"/>
      <c r="X25" s="24"/>
      <c r="Y25" s="24"/>
      <c r="Z25" s="24"/>
      <c r="AA25" s="24"/>
      <c r="AB25" s="24"/>
      <c r="AC25" s="24"/>
      <c r="AD25" s="24"/>
      <c r="AE25" s="24"/>
      <c r="AF25" s="24"/>
    </row>
  </sheetData>
  <dataValidations>
    <dataValidation type="list" allowBlank="1" sqref="L2:L25">
      <formula1>"Global einmalig,Global am Tag,Tapete entfernen,Raufaser,Malervlies,Mustertapete,Überholungsanstrich,Neuanstrich Decken und Wände,Lackieren,Bodenbeläge,Abdecken (Boden),Dübellöcher schließen,Isoliergrundierung,Zusätzlicher Grundanstrich"</formula1>
    </dataValidation>
    <dataValidation type="list" allowBlank="1" sqref="A2:A25">
      <formula1>"Raum,Fenster,Türen"</formula1>
    </dataValidation>
    <dataValidation type="list" allowBlank="1" sqref="B2:B25">
      <formula1>"Umfang,Decken,Wände,Fenster innen,Fenster außen,Türen,Boden"</formula1>
    </dataValidation>
    <dataValidation type="list" allowBlank="1" sqref="E2:E25">
      <formula1>"Raum Normal,Flur,L,Treppenhaus,Bad,Küche,Stuck,Sprossenfenster,Fensterflügel klein,Fensterflügel mittel,Fensterflügel groß,Kassettentüren"</formula1>
    </dataValidation>
    <dataValidation type="custom" allowBlank="1" showDropDown="1" sqref="I2:I25 P2:Q25 S2:T25">
      <formula1/>
    </dataValidation>
  </dataValidations>
  <printOptions/>
  <pageMargins bottom="0.787401575" footer="0.0" header="0.0" left="0.7" right="0.7" top="0.7874015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22.63"/>
    <col customWidth="1" min="3" max="3" width="23.0"/>
    <col customWidth="1" min="4" max="4" width="28.38"/>
    <col customWidth="1" min="5" max="5" width="32.75"/>
    <col customWidth="1" min="6" max="6" width="12.0"/>
    <col customWidth="1" min="7" max="7" width="29.38"/>
    <col customWidth="1" min="8" max="8" width="18.5"/>
    <col customWidth="1" min="9" max="9" width="21.0"/>
    <col customWidth="1" min="10" max="11" width="32.88"/>
    <col customWidth="1" min="12" max="12" width="17.38"/>
    <col customWidth="1" min="13" max="13" width="11.0"/>
    <col customWidth="1" min="14" max="14" width="27.63"/>
    <col customWidth="1" min="15" max="30" width="11.0"/>
  </cols>
  <sheetData>
    <row r="1" ht="22.5" customHeight="1">
      <c r="A1" s="22" t="s">
        <v>143</v>
      </c>
      <c r="B1" s="22" t="s">
        <v>144</v>
      </c>
      <c r="C1" s="22" t="s">
        <v>145</v>
      </c>
      <c r="D1" s="32" t="s">
        <v>146</v>
      </c>
      <c r="E1" s="32" t="s">
        <v>147</v>
      </c>
      <c r="F1" s="32" t="s">
        <v>148</v>
      </c>
      <c r="G1" s="32" t="s">
        <v>149</v>
      </c>
      <c r="H1" s="32" t="s">
        <v>150</v>
      </c>
      <c r="I1" s="32" t="s">
        <v>151</v>
      </c>
      <c r="J1" s="33" t="s">
        <v>152</v>
      </c>
      <c r="K1" s="32" t="s">
        <v>153</v>
      </c>
      <c r="L1" s="32" t="s">
        <v>154</v>
      </c>
      <c r="M1" s="32" t="s">
        <v>155</v>
      </c>
      <c r="N1" s="32" t="s">
        <v>156</v>
      </c>
    </row>
    <row r="2" ht="22.5" customHeight="1">
      <c r="A2" s="23"/>
      <c r="B2" s="23" t="s">
        <v>157</v>
      </c>
      <c r="C2" s="23" t="s">
        <v>158</v>
      </c>
      <c r="D2" s="23" t="s">
        <v>159</v>
      </c>
      <c r="E2" s="23" t="s">
        <v>160</v>
      </c>
      <c r="F2" s="23" t="s">
        <v>161</v>
      </c>
      <c r="G2" s="23" t="s">
        <v>162</v>
      </c>
      <c r="H2" s="23" t="s">
        <v>163</v>
      </c>
      <c r="I2" s="23" t="s">
        <v>164</v>
      </c>
      <c r="J2" s="23"/>
      <c r="K2" s="23" t="s">
        <v>165</v>
      </c>
      <c r="L2" s="23">
        <v>1.02</v>
      </c>
      <c r="M2" s="23" t="s">
        <v>162</v>
      </c>
      <c r="N2" s="23" t="s">
        <v>162</v>
      </c>
    </row>
    <row r="3" ht="22.5" customHeight="1">
      <c r="A3" s="23"/>
      <c r="B3" s="23" t="s">
        <v>166</v>
      </c>
      <c r="C3" s="23" t="s">
        <v>158</v>
      </c>
      <c r="D3" s="23" t="s">
        <v>167</v>
      </c>
      <c r="E3" s="23"/>
      <c r="F3" s="23" t="s">
        <v>161</v>
      </c>
      <c r="G3" s="23" t="s">
        <v>162</v>
      </c>
      <c r="H3" s="23" t="s">
        <v>168</v>
      </c>
      <c r="I3" s="23" t="s">
        <v>169</v>
      </c>
      <c r="J3" s="23"/>
      <c r="K3" s="23" t="s">
        <v>170</v>
      </c>
      <c r="L3" s="23"/>
      <c r="M3" s="23"/>
      <c r="N3" s="23"/>
    </row>
    <row r="4" ht="22.5" customHeight="1">
      <c r="A4" s="23"/>
      <c r="B4" s="23" t="s">
        <v>171</v>
      </c>
      <c r="C4" s="23" t="s">
        <v>158</v>
      </c>
      <c r="D4" s="23" t="s">
        <v>172</v>
      </c>
      <c r="E4" s="23" t="s">
        <v>173</v>
      </c>
      <c r="F4" s="23" t="s">
        <v>174</v>
      </c>
      <c r="G4" s="23">
        <v>110.0</v>
      </c>
      <c r="H4" s="23" t="s">
        <v>175</v>
      </c>
      <c r="I4" s="23" t="s">
        <v>164</v>
      </c>
      <c r="J4" s="23">
        <v>3.0</v>
      </c>
      <c r="K4" s="23" t="s">
        <v>176</v>
      </c>
      <c r="L4" s="23">
        <v>1.1</v>
      </c>
      <c r="M4" s="23" t="s">
        <v>177</v>
      </c>
      <c r="N4" s="23" t="s">
        <v>178</v>
      </c>
    </row>
    <row r="5" ht="22.5" customHeight="1">
      <c r="A5" s="23"/>
      <c r="B5" s="23" t="s">
        <v>140</v>
      </c>
      <c r="C5" s="23" t="s">
        <v>158</v>
      </c>
      <c r="D5" s="23" t="s">
        <v>179</v>
      </c>
      <c r="E5" s="23" t="s">
        <v>180</v>
      </c>
      <c r="F5" s="23" t="s">
        <v>174</v>
      </c>
      <c r="G5" s="23">
        <v>250.0</v>
      </c>
      <c r="H5" s="23" t="s">
        <v>181</v>
      </c>
      <c r="I5" s="34" t="s">
        <v>182</v>
      </c>
      <c r="J5" s="23">
        <v>0.5</v>
      </c>
      <c r="K5" s="23" t="s">
        <v>183</v>
      </c>
      <c r="L5" s="23">
        <v>1.1</v>
      </c>
      <c r="M5" s="23" t="s">
        <v>184</v>
      </c>
      <c r="N5" s="23" t="s">
        <v>185</v>
      </c>
    </row>
    <row r="6" ht="22.5" customHeight="1">
      <c r="A6" s="23"/>
      <c r="B6" s="23" t="s">
        <v>186</v>
      </c>
      <c r="C6" s="23" t="s">
        <v>158</v>
      </c>
      <c r="D6" s="23" t="s">
        <v>187</v>
      </c>
      <c r="E6" s="23" t="s">
        <v>188</v>
      </c>
      <c r="F6" s="23" t="s">
        <v>174</v>
      </c>
      <c r="G6" s="23" t="s">
        <v>189</v>
      </c>
      <c r="H6" s="23" t="s">
        <v>181</v>
      </c>
      <c r="I6" s="23" t="s">
        <v>190</v>
      </c>
      <c r="J6" s="23"/>
      <c r="K6" s="23" t="s">
        <v>191</v>
      </c>
      <c r="L6" s="23" t="s">
        <v>192</v>
      </c>
      <c r="M6" s="23" t="s">
        <v>193</v>
      </c>
      <c r="N6" s="23" t="s">
        <v>194</v>
      </c>
    </row>
    <row r="7" ht="22.5" customHeight="1">
      <c r="A7" s="23"/>
      <c r="B7" s="23" t="s">
        <v>195</v>
      </c>
      <c r="C7" s="23" t="s">
        <v>158</v>
      </c>
      <c r="D7" s="23" t="s">
        <v>196</v>
      </c>
      <c r="E7" s="23" t="s">
        <v>197</v>
      </c>
      <c r="F7" s="23" t="s">
        <v>174</v>
      </c>
      <c r="G7" s="23" t="s">
        <v>198</v>
      </c>
      <c r="H7" s="23" t="s">
        <v>181</v>
      </c>
      <c r="I7" s="23" t="s">
        <v>199</v>
      </c>
      <c r="J7" s="23"/>
      <c r="K7" s="23" t="s">
        <v>200</v>
      </c>
      <c r="L7" s="23" t="s">
        <v>201</v>
      </c>
      <c r="M7" s="23" t="s">
        <v>202</v>
      </c>
      <c r="N7" s="23" t="s">
        <v>203</v>
      </c>
    </row>
    <row r="8" ht="22.5" customHeight="1">
      <c r="A8" s="23"/>
      <c r="B8" s="23" t="s">
        <v>140</v>
      </c>
      <c r="C8" s="23" t="s">
        <v>158</v>
      </c>
      <c r="D8" s="23" t="s">
        <v>204</v>
      </c>
      <c r="E8" s="23"/>
      <c r="F8" s="23" t="s">
        <v>174</v>
      </c>
      <c r="G8" s="23">
        <v>180.0</v>
      </c>
      <c r="H8" s="23" t="s">
        <v>181</v>
      </c>
      <c r="I8" s="23" t="s">
        <v>205</v>
      </c>
      <c r="J8" s="35">
        <v>4.0</v>
      </c>
      <c r="K8" s="36" t="s">
        <v>206</v>
      </c>
      <c r="L8" s="36">
        <v>1.2</v>
      </c>
      <c r="M8" s="36" t="s">
        <v>207</v>
      </c>
      <c r="N8" s="37" t="s">
        <v>208</v>
      </c>
    </row>
    <row r="9" ht="22.5" customHeight="1">
      <c r="A9" s="23"/>
      <c r="B9" s="23" t="s">
        <v>140</v>
      </c>
      <c r="C9" s="23" t="s">
        <v>158</v>
      </c>
      <c r="D9" s="23" t="s">
        <v>209</v>
      </c>
      <c r="E9" s="23"/>
      <c r="F9" s="38" t="s">
        <v>174</v>
      </c>
      <c r="G9" s="36">
        <v>180.0</v>
      </c>
      <c r="H9" s="36" t="s">
        <v>181</v>
      </c>
      <c r="I9" s="36" t="s">
        <v>205</v>
      </c>
      <c r="J9" s="36">
        <v>4.0</v>
      </c>
      <c r="K9" s="36" t="s">
        <v>206</v>
      </c>
      <c r="L9" s="36">
        <v>1.2</v>
      </c>
      <c r="M9" s="36" t="s">
        <v>207</v>
      </c>
      <c r="N9" s="37" t="s">
        <v>208</v>
      </c>
    </row>
    <row r="10" ht="22.5" customHeight="1">
      <c r="A10" s="23"/>
      <c r="B10" s="23" t="s">
        <v>210</v>
      </c>
      <c r="C10" s="23" t="s">
        <v>158</v>
      </c>
      <c r="D10" s="23" t="s">
        <v>211</v>
      </c>
      <c r="E10" s="23" t="s">
        <v>212</v>
      </c>
      <c r="F10" s="23" t="s">
        <v>174</v>
      </c>
      <c r="G10" s="23" t="s">
        <v>213</v>
      </c>
      <c r="H10" s="23" t="s">
        <v>181</v>
      </c>
      <c r="I10" s="23" t="s">
        <v>214</v>
      </c>
      <c r="J10" s="23"/>
      <c r="K10" s="23" t="s">
        <v>215</v>
      </c>
      <c r="L10" s="23" t="s">
        <v>192</v>
      </c>
      <c r="M10" s="23" t="s">
        <v>162</v>
      </c>
      <c r="N10" s="23" t="s">
        <v>216</v>
      </c>
    </row>
    <row r="11" ht="22.5" customHeight="1">
      <c r="A11" s="23"/>
      <c r="B11" s="23" t="s">
        <v>217</v>
      </c>
      <c r="C11" s="23" t="s">
        <v>158</v>
      </c>
      <c r="D11" s="23" t="s">
        <v>218</v>
      </c>
      <c r="E11" s="23" t="s">
        <v>219</v>
      </c>
      <c r="F11" s="23" t="s">
        <v>174</v>
      </c>
      <c r="G11" s="23" t="s">
        <v>220</v>
      </c>
      <c r="H11" s="23" t="s">
        <v>175</v>
      </c>
      <c r="I11" s="23" t="s">
        <v>184</v>
      </c>
      <c r="J11" s="23"/>
      <c r="K11" s="23" t="s">
        <v>221</v>
      </c>
      <c r="L11" s="23" t="s">
        <v>222</v>
      </c>
      <c r="M11" s="23" t="s">
        <v>162</v>
      </c>
      <c r="N11" s="23"/>
    </row>
    <row r="12" ht="22.5" customHeight="1">
      <c r="A12" s="23" t="s">
        <v>223</v>
      </c>
      <c r="B12" s="23" t="s">
        <v>217</v>
      </c>
      <c r="C12" s="23" t="s">
        <v>224</v>
      </c>
      <c r="D12" s="23" t="s">
        <v>225</v>
      </c>
      <c r="E12" s="23" t="s">
        <v>226</v>
      </c>
      <c r="F12" s="23" t="s">
        <v>174</v>
      </c>
      <c r="G12" s="23" t="s">
        <v>227</v>
      </c>
      <c r="H12" s="23" t="s">
        <v>181</v>
      </c>
      <c r="I12" s="23" t="s">
        <v>228</v>
      </c>
      <c r="J12" s="23"/>
      <c r="K12" s="23" t="s">
        <v>229</v>
      </c>
      <c r="L12" s="23" t="s">
        <v>230</v>
      </c>
      <c r="M12" s="23" t="s">
        <v>231</v>
      </c>
      <c r="N12" s="23"/>
    </row>
    <row r="13" ht="22.5" customHeight="1">
      <c r="A13" s="23"/>
      <c r="B13" s="23" t="s">
        <v>232</v>
      </c>
      <c r="C13" s="23" t="s">
        <v>158</v>
      </c>
      <c r="D13" s="23" t="s">
        <v>233</v>
      </c>
      <c r="E13" s="23" t="s">
        <v>234</v>
      </c>
      <c r="F13" s="23" t="s">
        <v>174</v>
      </c>
      <c r="G13" s="23" t="s">
        <v>189</v>
      </c>
      <c r="H13" s="23" t="s">
        <v>181</v>
      </c>
      <c r="I13" s="23" t="s">
        <v>205</v>
      </c>
      <c r="J13" s="23"/>
      <c r="K13" s="23" t="s">
        <v>206</v>
      </c>
      <c r="L13" s="23" t="s">
        <v>235</v>
      </c>
      <c r="M13" s="23" t="s">
        <v>207</v>
      </c>
      <c r="N13" s="23" t="s">
        <v>208</v>
      </c>
    </row>
    <row r="14" ht="22.5" customHeight="1">
      <c r="A14" s="23"/>
      <c r="B14" s="23" t="s">
        <v>236</v>
      </c>
      <c r="C14" s="23" t="s">
        <v>158</v>
      </c>
      <c r="D14" s="23" t="s">
        <v>237</v>
      </c>
      <c r="E14" s="23" t="s">
        <v>238</v>
      </c>
      <c r="F14" s="23" t="s">
        <v>174</v>
      </c>
      <c r="G14" s="23" t="s">
        <v>239</v>
      </c>
      <c r="H14" s="23" t="s">
        <v>181</v>
      </c>
      <c r="I14" s="23" t="s">
        <v>240</v>
      </c>
      <c r="J14" s="23"/>
      <c r="K14" s="23" t="s">
        <v>241</v>
      </c>
      <c r="L14" s="23" t="s">
        <v>222</v>
      </c>
      <c r="M14" s="23" t="s">
        <v>242</v>
      </c>
      <c r="N14" s="23" t="s">
        <v>243</v>
      </c>
    </row>
    <row r="15" ht="22.5" customHeight="1">
      <c r="A15" s="23" t="s">
        <v>244</v>
      </c>
      <c r="B15" s="23"/>
      <c r="C15" s="23" t="s">
        <v>245</v>
      </c>
      <c r="D15" s="23" t="s">
        <v>246</v>
      </c>
      <c r="E15" s="23" t="s">
        <v>247</v>
      </c>
      <c r="F15" s="23" t="s">
        <v>174</v>
      </c>
      <c r="G15" s="23" t="s">
        <v>248</v>
      </c>
      <c r="H15" s="23" t="s">
        <v>181</v>
      </c>
      <c r="I15" s="23" t="s">
        <v>249</v>
      </c>
      <c r="J15" s="23"/>
      <c r="K15" s="23" t="s">
        <v>250</v>
      </c>
      <c r="L15" s="23" t="s">
        <v>201</v>
      </c>
      <c r="M15" s="23" t="s">
        <v>162</v>
      </c>
      <c r="N15" s="23" t="s">
        <v>251</v>
      </c>
    </row>
    <row r="16" ht="22.5" customHeight="1">
      <c r="A16" s="23" t="s">
        <v>244</v>
      </c>
      <c r="B16" s="23" t="s">
        <v>186</v>
      </c>
      <c r="C16" s="23" t="s">
        <v>252</v>
      </c>
      <c r="D16" s="23" t="s">
        <v>186</v>
      </c>
      <c r="E16" s="23"/>
      <c r="F16" s="23"/>
      <c r="G16" s="23"/>
      <c r="H16" s="23"/>
      <c r="I16" s="23"/>
      <c r="J16" s="23"/>
      <c r="K16" s="23"/>
      <c r="L16" s="23"/>
      <c r="M16" s="23"/>
      <c r="N16" s="23"/>
    </row>
    <row r="17" ht="22.5" customHeight="1">
      <c r="A17" s="23" t="s">
        <v>244</v>
      </c>
      <c r="B17" s="23" t="s">
        <v>253</v>
      </c>
      <c r="C17" s="23" t="s">
        <v>252</v>
      </c>
      <c r="D17" s="23" t="s">
        <v>253</v>
      </c>
      <c r="E17" s="23"/>
      <c r="F17" s="23"/>
      <c r="G17" s="23"/>
      <c r="H17" s="23"/>
      <c r="I17" s="23"/>
      <c r="J17" s="23"/>
      <c r="K17" s="23"/>
      <c r="L17" s="23"/>
      <c r="M17" s="23"/>
      <c r="N17" s="23"/>
    </row>
    <row r="18" ht="22.5" customHeight="1">
      <c r="A18" s="23" t="s">
        <v>244</v>
      </c>
      <c r="B18" s="23" t="s">
        <v>253</v>
      </c>
      <c r="C18" s="23" t="s">
        <v>254</v>
      </c>
      <c r="D18" s="23" t="s">
        <v>232</v>
      </c>
      <c r="E18" s="23" t="s">
        <v>255</v>
      </c>
      <c r="F18" s="23" t="s">
        <v>174</v>
      </c>
      <c r="G18" s="23" t="s">
        <v>256</v>
      </c>
      <c r="H18" s="23" t="s">
        <v>257</v>
      </c>
      <c r="I18" s="23" t="s">
        <v>228</v>
      </c>
      <c r="J18" s="23"/>
      <c r="K18" s="23" t="s">
        <v>258</v>
      </c>
      <c r="L18" s="23" t="s">
        <v>259</v>
      </c>
      <c r="M18" s="23" t="s">
        <v>162</v>
      </c>
      <c r="N18" s="23" t="s">
        <v>260</v>
      </c>
    </row>
    <row r="19" ht="22.5" customHeight="1">
      <c r="A19" s="23" t="s">
        <v>261</v>
      </c>
      <c r="B19" s="23"/>
      <c r="C19" s="23" t="s">
        <v>245</v>
      </c>
      <c r="D19" s="23" t="s">
        <v>262</v>
      </c>
      <c r="E19" s="23"/>
      <c r="F19" s="23"/>
      <c r="G19" s="23"/>
      <c r="H19" s="23"/>
      <c r="I19" s="23"/>
      <c r="J19" s="23"/>
      <c r="K19" s="23"/>
      <c r="L19" s="23"/>
      <c r="M19" s="23"/>
      <c r="N19" s="23"/>
    </row>
    <row r="20" ht="22.5" customHeight="1">
      <c r="A20" s="23" t="s">
        <v>261</v>
      </c>
      <c r="B20" s="23" t="s">
        <v>140</v>
      </c>
      <c r="C20" s="23" t="s">
        <v>254</v>
      </c>
      <c r="D20" s="23" t="s">
        <v>263</v>
      </c>
      <c r="E20" s="23" t="s">
        <v>264</v>
      </c>
      <c r="F20" s="23" t="s">
        <v>174</v>
      </c>
      <c r="G20" s="23">
        <v>150.0</v>
      </c>
      <c r="H20" s="23" t="s">
        <v>181</v>
      </c>
      <c r="I20" s="23" t="s">
        <v>265</v>
      </c>
      <c r="J20" s="23">
        <v>4.0</v>
      </c>
      <c r="K20" s="23" t="s">
        <v>266</v>
      </c>
      <c r="L20" s="23">
        <v>1.2</v>
      </c>
      <c r="M20" s="23" t="s">
        <v>267</v>
      </c>
      <c r="N20" s="23" t="s">
        <v>268</v>
      </c>
    </row>
    <row r="21" ht="22.5" customHeight="1">
      <c r="A21" s="23" t="s">
        <v>261</v>
      </c>
      <c r="B21" s="23" t="s">
        <v>269</v>
      </c>
      <c r="C21" s="23" t="s">
        <v>254</v>
      </c>
      <c r="D21" s="23" t="s">
        <v>270</v>
      </c>
      <c r="E21" s="23" t="s">
        <v>271</v>
      </c>
      <c r="F21" s="23" t="s">
        <v>174</v>
      </c>
      <c r="G21" s="23" t="s">
        <v>272</v>
      </c>
      <c r="H21" s="23" t="s">
        <v>181</v>
      </c>
      <c r="I21" s="23" t="s">
        <v>273</v>
      </c>
      <c r="J21" s="23"/>
      <c r="K21" s="23" t="s">
        <v>274</v>
      </c>
      <c r="L21" s="23" t="s">
        <v>275</v>
      </c>
      <c r="M21" s="23" t="s">
        <v>276</v>
      </c>
      <c r="N21" s="23" t="s">
        <v>277</v>
      </c>
    </row>
    <row r="22" ht="22.5" customHeight="1">
      <c r="A22" s="23" t="s">
        <v>261</v>
      </c>
      <c r="B22" s="23" t="s">
        <v>269</v>
      </c>
      <c r="C22" s="23" t="s">
        <v>254</v>
      </c>
      <c r="D22" s="23" t="s">
        <v>278</v>
      </c>
      <c r="E22" s="23" t="s">
        <v>186</v>
      </c>
      <c r="F22" s="23" t="s">
        <v>174</v>
      </c>
      <c r="G22" s="23" t="s">
        <v>272</v>
      </c>
      <c r="H22" s="23" t="s">
        <v>181</v>
      </c>
      <c r="I22" s="23" t="s">
        <v>279</v>
      </c>
      <c r="J22" s="23"/>
      <c r="K22" s="23" t="s">
        <v>280</v>
      </c>
      <c r="L22" s="23" t="s">
        <v>275</v>
      </c>
      <c r="M22" s="23" t="s">
        <v>267</v>
      </c>
      <c r="N22" s="23" t="s">
        <v>277</v>
      </c>
    </row>
    <row r="23" ht="22.5" customHeight="1">
      <c r="A23" s="23" t="s">
        <v>261</v>
      </c>
      <c r="B23" s="23" t="s">
        <v>269</v>
      </c>
      <c r="C23" s="23" t="s">
        <v>254</v>
      </c>
      <c r="D23" s="23" t="s">
        <v>281</v>
      </c>
      <c r="E23" s="23" t="s">
        <v>253</v>
      </c>
      <c r="F23" s="23" t="s">
        <v>174</v>
      </c>
      <c r="G23" s="23" t="s">
        <v>272</v>
      </c>
      <c r="H23" s="23" t="s">
        <v>282</v>
      </c>
      <c r="I23" s="23" t="s">
        <v>283</v>
      </c>
      <c r="J23" s="23"/>
      <c r="K23" s="23" t="s">
        <v>280</v>
      </c>
      <c r="L23" s="23" t="s">
        <v>275</v>
      </c>
      <c r="M23" s="23" t="s">
        <v>267</v>
      </c>
      <c r="N23" s="23" t="s">
        <v>277</v>
      </c>
    </row>
    <row r="24" ht="22.5" customHeight="1">
      <c r="A24" s="23" t="s">
        <v>284</v>
      </c>
      <c r="B24" s="23" t="s">
        <v>284</v>
      </c>
      <c r="C24" s="23" t="s">
        <v>245</v>
      </c>
      <c r="D24" s="23" t="s">
        <v>284</v>
      </c>
      <c r="E24" s="23" t="s">
        <v>285</v>
      </c>
      <c r="F24" s="23" t="s">
        <v>286</v>
      </c>
      <c r="G24" s="23" t="s">
        <v>287</v>
      </c>
      <c r="H24" s="23" t="s">
        <v>288</v>
      </c>
      <c r="I24" s="23" t="s">
        <v>289</v>
      </c>
      <c r="J24" s="23"/>
      <c r="K24" s="23" t="s">
        <v>290</v>
      </c>
      <c r="L24" s="23" t="s">
        <v>291</v>
      </c>
      <c r="M24" s="23" t="s">
        <v>292</v>
      </c>
      <c r="N24" s="23" t="s">
        <v>293</v>
      </c>
    </row>
    <row r="25" ht="22.5" customHeight="1">
      <c r="A25" s="23" t="s">
        <v>284</v>
      </c>
      <c r="B25" s="23" t="s">
        <v>284</v>
      </c>
      <c r="C25" s="23" t="s">
        <v>254</v>
      </c>
      <c r="D25" s="23" t="s">
        <v>294</v>
      </c>
      <c r="E25" s="23" t="s">
        <v>285</v>
      </c>
      <c r="F25" s="23" t="s">
        <v>286</v>
      </c>
      <c r="G25" s="23" t="s">
        <v>287</v>
      </c>
      <c r="H25" s="23" t="s">
        <v>295</v>
      </c>
      <c r="I25" s="23" t="s">
        <v>289</v>
      </c>
      <c r="J25" s="23"/>
      <c r="K25" s="23" t="s">
        <v>290</v>
      </c>
      <c r="L25" s="23" t="s">
        <v>291</v>
      </c>
      <c r="M25" s="23" t="s">
        <v>296</v>
      </c>
      <c r="N25" s="23" t="s">
        <v>293</v>
      </c>
    </row>
    <row r="26" ht="22.5" customHeight="1">
      <c r="A26" s="23" t="s">
        <v>284</v>
      </c>
      <c r="B26" s="23" t="s">
        <v>284</v>
      </c>
      <c r="C26" s="23" t="s">
        <v>158</v>
      </c>
      <c r="D26" s="23" t="s">
        <v>297</v>
      </c>
      <c r="E26" s="23"/>
      <c r="F26" s="23" t="s">
        <v>286</v>
      </c>
      <c r="G26" s="23" t="s">
        <v>287</v>
      </c>
      <c r="H26" s="23" t="s">
        <v>298</v>
      </c>
      <c r="I26" s="23" t="s">
        <v>289</v>
      </c>
      <c r="J26" s="23"/>
      <c r="K26" s="23" t="s">
        <v>290</v>
      </c>
      <c r="L26" s="23" t="s">
        <v>291</v>
      </c>
      <c r="M26" s="23" t="s">
        <v>299</v>
      </c>
      <c r="N26" s="23" t="s">
        <v>293</v>
      </c>
    </row>
    <row r="27" ht="22.5" customHeight="1">
      <c r="A27" s="23" t="s">
        <v>284</v>
      </c>
      <c r="B27" s="23" t="s">
        <v>284</v>
      </c>
      <c r="C27" s="23" t="s">
        <v>158</v>
      </c>
      <c r="D27" s="23" t="s">
        <v>300</v>
      </c>
      <c r="E27" s="23"/>
      <c r="F27" s="23" t="s">
        <v>286</v>
      </c>
      <c r="G27" s="23" t="s">
        <v>287</v>
      </c>
      <c r="H27" s="23" t="s">
        <v>301</v>
      </c>
      <c r="I27" s="23" t="s">
        <v>289</v>
      </c>
      <c r="J27" s="23"/>
      <c r="K27" s="23" t="s">
        <v>290</v>
      </c>
      <c r="L27" s="23" t="s">
        <v>291</v>
      </c>
      <c r="M27" s="23" t="s">
        <v>302</v>
      </c>
      <c r="N27" s="23" t="s">
        <v>293</v>
      </c>
    </row>
    <row r="28" ht="22.5" customHeight="1">
      <c r="A28" s="23" t="s">
        <v>284</v>
      </c>
      <c r="B28" s="23" t="s">
        <v>284</v>
      </c>
      <c r="C28" s="23" t="s">
        <v>158</v>
      </c>
      <c r="D28" s="23" t="s">
        <v>303</v>
      </c>
      <c r="E28" s="23"/>
      <c r="F28" s="23" t="s">
        <v>286</v>
      </c>
      <c r="G28" s="23" t="s">
        <v>287</v>
      </c>
      <c r="H28" s="23" t="s">
        <v>304</v>
      </c>
      <c r="I28" s="23" t="s">
        <v>289</v>
      </c>
      <c r="J28" s="23"/>
      <c r="K28" s="23" t="s">
        <v>290</v>
      </c>
      <c r="L28" s="23" t="s">
        <v>291</v>
      </c>
      <c r="M28" s="23" t="s">
        <v>305</v>
      </c>
      <c r="N28" s="23" t="s">
        <v>293</v>
      </c>
    </row>
    <row r="29" ht="22.5" customHeight="1">
      <c r="A29" s="23" t="s">
        <v>284</v>
      </c>
      <c r="B29" s="23" t="s">
        <v>284</v>
      </c>
      <c r="C29" s="23" t="s">
        <v>254</v>
      </c>
      <c r="D29" s="23" t="s">
        <v>306</v>
      </c>
      <c r="E29" s="23" t="s">
        <v>307</v>
      </c>
      <c r="F29" s="23" t="s">
        <v>308</v>
      </c>
      <c r="G29" s="23" t="s">
        <v>309</v>
      </c>
      <c r="H29" s="23" t="s">
        <v>310</v>
      </c>
      <c r="I29" s="23" t="s">
        <v>311</v>
      </c>
      <c r="J29" s="23"/>
      <c r="K29" s="23" t="s">
        <v>312</v>
      </c>
      <c r="L29" s="23" t="s">
        <v>291</v>
      </c>
      <c r="M29" s="23" t="s">
        <v>292</v>
      </c>
      <c r="N29" s="23" t="s">
        <v>293</v>
      </c>
    </row>
    <row r="30" ht="22.5" customHeight="1">
      <c r="A30" s="23"/>
      <c r="B30" s="23"/>
      <c r="C30" s="23"/>
      <c r="D30" s="39" t="s">
        <v>313</v>
      </c>
      <c r="E30" s="23"/>
      <c r="F30" s="23"/>
      <c r="G30" s="23" t="s">
        <v>314</v>
      </c>
      <c r="H30" s="23" t="s">
        <v>310</v>
      </c>
      <c r="I30" s="23" t="s">
        <v>169</v>
      </c>
      <c r="J30" s="23"/>
      <c r="K30" s="23"/>
      <c r="L30" s="23"/>
      <c r="M30" s="23"/>
      <c r="N30" s="23"/>
    </row>
    <row r="31" ht="22.5" customHeight="1">
      <c r="A31" s="23"/>
      <c r="B31" s="23"/>
      <c r="C31" s="23"/>
      <c r="D31" s="36" t="s">
        <v>315</v>
      </c>
      <c r="E31" s="23"/>
      <c r="F31" s="23"/>
      <c r="G31" s="23" t="s">
        <v>309</v>
      </c>
      <c r="H31" s="23" t="s">
        <v>310</v>
      </c>
      <c r="I31" s="23" t="s">
        <v>316</v>
      </c>
      <c r="J31" s="23"/>
      <c r="K31" s="23"/>
      <c r="L31" s="23"/>
      <c r="M31" s="23"/>
      <c r="N31" s="23"/>
    </row>
    <row r="32" ht="22.5" customHeight="1">
      <c r="A32" s="23"/>
      <c r="B32" s="23"/>
      <c r="C32" s="23"/>
      <c r="D32" s="39" t="s">
        <v>317</v>
      </c>
      <c r="E32" s="23"/>
      <c r="F32" s="23"/>
      <c r="G32" s="23" t="s">
        <v>309</v>
      </c>
      <c r="H32" s="23" t="s">
        <v>310</v>
      </c>
      <c r="I32" s="23" t="s">
        <v>318</v>
      </c>
      <c r="J32" s="23"/>
      <c r="K32" s="23"/>
      <c r="L32" s="23"/>
      <c r="M32" s="23"/>
      <c r="N32" s="23"/>
    </row>
    <row r="33" ht="22.5" customHeight="1">
      <c r="A33" s="23" t="s">
        <v>284</v>
      </c>
      <c r="B33" s="23" t="s">
        <v>284</v>
      </c>
      <c r="C33" s="23" t="s">
        <v>254</v>
      </c>
      <c r="D33" s="23" t="s">
        <v>319</v>
      </c>
      <c r="E33" s="23" t="s">
        <v>320</v>
      </c>
      <c r="F33" s="23" t="s">
        <v>308</v>
      </c>
      <c r="G33" s="23" t="s">
        <v>309</v>
      </c>
      <c r="H33" s="23" t="s">
        <v>310</v>
      </c>
      <c r="I33" s="23" t="s">
        <v>289</v>
      </c>
      <c r="J33" s="23"/>
      <c r="K33" s="23" t="s">
        <v>321</v>
      </c>
      <c r="L33" s="23" t="s">
        <v>291</v>
      </c>
      <c r="M33" s="23" t="s">
        <v>292</v>
      </c>
      <c r="N33" s="23" t="s">
        <v>293</v>
      </c>
    </row>
    <row r="34" ht="22.5" customHeight="1">
      <c r="A34" s="23"/>
      <c r="B34" s="23"/>
      <c r="C34" s="23"/>
      <c r="D34" s="23" t="s">
        <v>322</v>
      </c>
      <c r="E34" s="23"/>
      <c r="F34" s="23"/>
      <c r="G34" s="23"/>
      <c r="H34" s="23" t="s">
        <v>310</v>
      </c>
      <c r="I34" s="23" t="s">
        <v>323</v>
      </c>
      <c r="J34" s="23"/>
      <c r="K34" s="23"/>
      <c r="L34" s="23"/>
      <c r="M34" s="23"/>
      <c r="N34" s="23"/>
    </row>
    <row r="35" ht="22.5" customHeight="1">
      <c r="A35" s="23"/>
      <c r="B35" s="23"/>
      <c r="C35" s="23"/>
      <c r="D35" s="23" t="s">
        <v>324</v>
      </c>
      <c r="E35" s="23"/>
      <c r="F35" s="23"/>
      <c r="G35" s="23"/>
      <c r="H35" s="23" t="s">
        <v>310</v>
      </c>
      <c r="I35" s="23" t="s">
        <v>318</v>
      </c>
      <c r="J35" s="23"/>
      <c r="K35" s="23"/>
      <c r="L35" s="23"/>
      <c r="M35" s="23"/>
      <c r="N35" s="23"/>
    </row>
    <row r="36" ht="22.5" customHeight="1">
      <c r="A36" s="23"/>
      <c r="B36" s="23"/>
      <c r="C36" s="23"/>
      <c r="D36" s="23" t="s">
        <v>325</v>
      </c>
      <c r="E36" s="23"/>
      <c r="F36" s="23"/>
      <c r="G36" s="23"/>
      <c r="H36" s="23" t="s">
        <v>310</v>
      </c>
      <c r="I36" s="23" t="s">
        <v>323</v>
      </c>
      <c r="J36" s="23"/>
      <c r="K36" s="23"/>
      <c r="L36" s="23"/>
      <c r="M36" s="23"/>
      <c r="N36" s="23"/>
    </row>
    <row r="37" ht="22.5" customHeight="1">
      <c r="A37" s="23"/>
      <c r="B37" s="23"/>
      <c r="C37" s="23"/>
      <c r="D37" s="23"/>
      <c r="E37" s="23"/>
      <c r="F37" s="23"/>
      <c r="G37" s="23"/>
      <c r="H37" s="23"/>
      <c r="I37" s="23"/>
      <c r="J37" s="23"/>
      <c r="K37" s="23"/>
      <c r="L37" s="23"/>
      <c r="M37" s="23"/>
      <c r="N37" s="23"/>
    </row>
    <row r="38" ht="22.5" customHeight="1">
      <c r="A38" s="23"/>
      <c r="B38" s="23"/>
      <c r="C38" s="23"/>
      <c r="D38" s="23" t="s">
        <v>326</v>
      </c>
      <c r="E38" s="23" t="s">
        <v>327</v>
      </c>
      <c r="F38" s="23" t="s">
        <v>174</v>
      </c>
      <c r="G38" s="23" t="s">
        <v>328</v>
      </c>
      <c r="H38" s="23" t="s">
        <v>329</v>
      </c>
      <c r="I38" s="23" t="s">
        <v>330</v>
      </c>
      <c r="J38" s="23"/>
      <c r="K38" s="23" t="s">
        <v>331</v>
      </c>
      <c r="L38" s="23" t="s">
        <v>162</v>
      </c>
      <c r="M38" s="23" t="s">
        <v>162</v>
      </c>
      <c r="N38" s="23" t="s">
        <v>162</v>
      </c>
    </row>
    <row r="39">
      <c r="A39" s="2"/>
      <c r="B39" s="2"/>
      <c r="C39" s="2"/>
      <c r="D39" s="2"/>
      <c r="E39" s="2"/>
      <c r="F39" s="2"/>
      <c r="G39" s="2"/>
      <c r="H39" s="2"/>
      <c r="I39" s="2"/>
      <c r="J39" s="2"/>
      <c r="K39" s="2"/>
      <c r="L39" s="2"/>
      <c r="M39" s="2"/>
      <c r="N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sheetData>
  <dataValidations>
    <dataValidation type="list" allowBlank="1" sqref="C2:C38">
      <formula1>"Shop Titel Leistung,Shop Leistung,Unterleistung Backend"</formula1>
    </dataValidation>
    <dataValidation type="list" allowBlank="1" sqref="A2:A38">
      <formula1>"Tapezieren,Anstrich,Lackieren,Bodenbelag,Beläge entfernen/Abbruch"</formula1>
    </dataValidation>
    <dataValidation type="list" allowBlank="1" sqref="B2:B38">
      <formula1>"Global einmalig,Global am Tag,Tapete entfernen,Raufaser,Malervlies,Mustertapete,Überholungsanstrich,Neuanstrich Decken und Wände,Lackieren,Bodenbeläge"</formula1>
    </dataValidation>
    <dataValidation type="list" allowBlank="1" showDropDown="1" showErrorMessage="1" sqref="F2:F38">
      <formula1>"h,m²,Stk,Stk (m²)"</formula1>
    </dataValidation>
  </dataValidations>
  <printOptions/>
  <pageMargins bottom="0.787401575" footer="0.0" header="0.0" left="0.7" right="0.7" top="0.7874015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7.75"/>
    <col customWidth="1" min="3" max="3" width="17.88"/>
    <col customWidth="1" min="4" max="4" width="17.38"/>
    <col customWidth="1" min="5" max="5" width="11.0"/>
    <col customWidth="1" min="6" max="6" width="14.5"/>
    <col customWidth="1" min="7" max="7" width="45.13"/>
    <col customWidth="1" min="8" max="9" width="11.0"/>
    <col customWidth="1" min="10" max="10" width="31.13"/>
    <col customWidth="1" min="11" max="27" width="11.0"/>
  </cols>
  <sheetData>
    <row r="1" ht="22.5" customHeight="1">
      <c r="A1" s="7"/>
      <c r="B1" s="32" t="s">
        <v>332</v>
      </c>
      <c r="C1" s="33" t="s">
        <v>333</v>
      </c>
      <c r="D1" s="33" t="s">
        <v>334</v>
      </c>
      <c r="E1" s="33" t="s">
        <v>2</v>
      </c>
      <c r="F1" s="32" t="s">
        <v>3</v>
      </c>
      <c r="G1" s="32" t="s">
        <v>335</v>
      </c>
      <c r="H1" s="33" t="s">
        <v>336</v>
      </c>
      <c r="I1" s="32" t="s">
        <v>11</v>
      </c>
      <c r="J1" s="32" t="s">
        <v>337</v>
      </c>
      <c r="K1" s="32" t="s">
        <v>338</v>
      </c>
      <c r="L1" s="32" t="s">
        <v>339</v>
      </c>
      <c r="M1" s="32" t="s">
        <v>340</v>
      </c>
    </row>
    <row r="2" ht="22.5" customHeight="1">
      <c r="B2" s="23" t="s">
        <v>341</v>
      </c>
      <c r="C2" s="23" t="s">
        <v>204</v>
      </c>
      <c r="D2" s="23" t="s">
        <v>342</v>
      </c>
      <c r="E2" s="23" t="s">
        <v>18</v>
      </c>
      <c r="F2" s="23" t="s">
        <v>343</v>
      </c>
      <c r="G2" s="23" t="s">
        <v>344</v>
      </c>
      <c r="H2" s="23" t="s">
        <v>345</v>
      </c>
      <c r="I2" s="23" t="s">
        <v>78</v>
      </c>
      <c r="J2" s="23" t="s">
        <v>346</v>
      </c>
      <c r="K2" s="23"/>
      <c r="L2" s="23"/>
      <c r="M2" s="23"/>
    </row>
    <row r="3" ht="22.5" customHeight="1">
      <c r="B3" s="23" t="s">
        <v>341</v>
      </c>
      <c r="C3" s="23" t="s">
        <v>209</v>
      </c>
      <c r="D3" s="23" t="s">
        <v>342</v>
      </c>
      <c r="E3" s="23" t="s">
        <v>18</v>
      </c>
      <c r="F3" s="23" t="s">
        <v>343</v>
      </c>
      <c r="G3" s="23" t="s">
        <v>347</v>
      </c>
      <c r="H3" s="23" t="s">
        <v>345</v>
      </c>
      <c r="I3" s="23" t="s">
        <v>78</v>
      </c>
      <c r="J3" s="23" t="s">
        <v>348</v>
      </c>
      <c r="K3" s="23"/>
      <c r="L3" s="23"/>
      <c r="M3" s="23"/>
    </row>
    <row r="4" ht="22.5" customHeight="1">
      <c r="B4" s="23" t="s">
        <v>141</v>
      </c>
      <c r="C4" s="23" t="s">
        <v>179</v>
      </c>
      <c r="D4" s="23" t="s">
        <v>140</v>
      </c>
      <c r="E4" s="23" t="s">
        <v>18</v>
      </c>
      <c r="F4" s="23" t="s">
        <v>27</v>
      </c>
      <c r="G4" s="23" t="s">
        <v>349</v>
      </c>
      <c r="H4" s="23" t="s">
        <v>345</v>
      </c>
      <c r="I4" s="23" t="s">
        <v>78</v>
      </c>
      <c r="J4" s="23" t="s">
        <v>350</v>
      </c>
      <c r="K4" s="23"/>
      <c r="L4" s="23"/>
      <c r="M4" s="23"/>
    </row>
    <row r="5" ht="22.5" customHeight="1">
      <c r="B5" s="23"/>
      <c r="C5" s="23" t="s">
        <v>351</v>
      </c>
      <c r="D5" s="23" t="s">
        <v>352</v>
      </c>
      <c r="E5" s="23" t="s">
        <v>18</v>
      </c>
      <c r="F5" s="23" t="s">
        <v>27</v>
      </c>
      <c r="G5" s="23" t="s">
        <v>353</v>
      </c>
      <c r="H5" s="23" t="s">
        <v>354</v>
      </c>
      <c r="I5" s="23" t="s">
        <v>62</v>
      </c>
      <c r="J5" s="23" t="s">
        <v>355</v>
      </c>
      <c r="K5" s="23"/>
      <c r="L5" s="23"/>
      <c r="M5" s="23"/>
    </row>
    <row r="6" ht="22.5" customHeight="1">
      <c r="B6" s="23"/>
      <c r="C6" s="23"/>
      <c r="D6" s="23"/>
      <c r="E6" s="23"/>
      <c r="F6" s="23"/>
      <c r="G6" s="23"/>
      <c r="H6" s="23"/>
      <c r="I6" s="23"/>
      <c r="J6" s="23"/>
      <c r="K6" s="23"/>
      <c r="L6" s="23"/>
      <c r="M6" s="23"/>
    </row>
    <row r="7" ht="22.5" customHeight="1">
      <c r="B7" s="23"/>
      <c r="C7" s="23"/>
      <c r="D7" s="23"/>
      <c r="E7" s="23"/>
      <c r="F7" s="23"/>
      <c r="G7" s="23"/>
      <c r="H7" s="23"/>
      <c r="I7" s="23"/>
      <c r="J7" s="23"/>
      <c r="K7" s="23"/>
      <c r="L7" s="23"/>
      <c r="M7" s="23"/>
    </row>
    <row r="8" ht="22.5" customHeight="1">
      <c r="B8" s="23"/>
      <c r="C8" s="23"/>
      <c r="D8" s="23"/>
      <c r="E8" s="23"/>
      <c r="F8" s="23"/>
      <c r="G8" s="23"/>
      <c r="H8" s="23"/>
      <c r="I8" s="23"/>
      <c r="J8" s="23"/>
      <c r="K8" s="23"/>
      <c r="L8" s="23"/>
      <c r="M8" s="23"/>
    </row>
    <row r="9" ht="22.5" customHeight="1">
      <c r="B9" s="23"/>
      <c r="C9" s="23"/>
      <c r="D9" s="23"/>
      <c r="E9" s="23"/>
      <c r="F9" s="23"/>
      <c r="G9" s="23"/>
      <c r="H9" s="23"/>
      <c r="I9" s="23"/>
      <c r="J9" s="23"/>
      <c r="K9" s="23"/>
      <c r="L9" s="23"/>
      <c r="M9" s="23"/>
    </row>
    <row r="10" ht="22.5" customHeight="1">
      <c r="B10" s="23"/>
      <c r="C10" s="23"/>
      <c r="D10" s="23"/>
      <c r="E10" s="23"/>
      <c r="F10" s="23"/>
      <c r="G10" s="23"/>
      <c r="H10" s="23"/>
      <c r="I10" s="23"/>
      <c r="J10" s="23"/>
      <c r="K10" s="23"/>
      <c r="L10" s="23"/>
      <c r="M10" s="23"/>
    </row>
    <row r="11" ht="22.5" customHeight="1">
      <c r="B11" s="23"/>
      <c r="C11" s="23"/>
      <c r="D11" s="23"/>
      <c r="E11" s="23"/>
      <c r="F11" s="23"/>
      <c r="G11" s="23"/>
      <c r="H11" s="23"/>
      <c r="I11" s="23"/>
      <c r="J11" s="23"/>
      <c r="K11" s="23"/>
      <c r="L11" s="23"/>
      <c r="M11" s="23"/>
    </row>
    <row r="12" ht="22.5" customHeight="1">
      <c r="B12" s="23"/>
      <c r="C12" s="23"/>
      <c r="D12" s="23"/>
      <c r="E12" s="23"/>
      <c r="F12" s="23"/>
      <c r="G12" s="23"/>
      <c r="H12" s="23"/>
      <c r="I12" s="23"/>
      <c r="J12" s="23"/>
      <c r="K12" s="23"/>
      <c r="L12" s="23"/>
      <c r="M12" s="23"/>
    </row>
    <row r="13" ht="22.5" customHeight="1">
      <c r="B13" s="23"/>
      <c r="C13" s="23"/>
      <c r="D13" s="23"/>
      <c r="E13" s="23"/>
      <c r="F13" s="23"/>
      <c r="G13" s="23"/>
      <c r="H13" s="23"/>
      <c r="I13" s="23"/>
      <c r="J13" s="23"/>
      <c r="K13" s="23"/>
      <c r="L13" s="23"/>
      <c r="M13" s="23"/>
    </row>
    <row r="14" ht="22.5" customHeight="1">
      <c r="B14" s="23"/>
      <c r="C14" s="23"/>
      <c r="D14" s="23"/>
      <c r="E14" s="23"/>
      <c r="F14" s="23"/>
      <c r="G14" s="23"/>
      <c r="H14" s="23"/>
      <c r="I14" s="23"/>
      <c r="J14" s="23"/>
      <c r="K14" s="23"/>
      <c r="L14" s="23"/>
      <c r="M14" s="23"/>
    </row>
    <row r="15" ht="22.5" customHeight="1">
      <c r="B15" s="23"/>
      <c r="C15" s="23"/>
      <c r="D15" s="23"/>
      <c r="E15" s="23"/>
      <c r="F15" s="23"/>
      <c r="G15" s="23"/>
      <c r="H15" s="23"/>
      <c r="I15" s="23"/>
      <c r="J15" s="23"/>
      <c r="K15" s="23"/>
      <c r="L15" s="23"/>
      <c r="M15" s="23"/>
    </row>
    <row r="16" ht="22.5" customHeight="1">
      <c r="B16" s="23"/>
      <c r="C16" s="23"/>
      <c r="D16" s="23"/>
      <c r="E16" s="23"/>
      <c r="F16" s="23"/>
      <c r="G16" s="23"/>
      <c r="H16" s="23"/>
      <c r="I16" s="23"/>
      <c r="J16" s="23"/>
      <c r="K16" s="23"/>
      <c r="L16" s="23"/>
      <c r="M16" s="23"/>
    </row>
    <row r="17" ht="22.5" customHeight="1">
      <c r="B17" s="23"/>
      <c r="C17" s="23"/>
      <c r="D17" s="23"/>
      <c r="E17" s="23"/>
      <c r="F17" s="23"/>
      <c r="G17" s="23"/>
      <c r="H17" s="23"/>
      <c r="I17" s="23"/>
      <c r="J17" s="23"/>
      <c r="K17" s="23"/>
      <c r="L17" s="23"/>
      <c r="M17" s="23"/>
    </row>
    <row r="18" ht="22.5" customHeight="1">
      <c r="B18" s="23"/>
      <c r="C18" s="23"/>
      <c r="D18" s="23"/>
      <c r="E18" s="23"/>
      <c r="F18" s="23"/>
      <c r="G18" s="23"/>
      <c r="H18" s="23"/>
      <c r="I18" s="23"/>
      <c r="J18" s="23"/>
      <c r="K18" s="23"/>
      <c r="L18" s="23"/>
      <c r="M18" s="23"/>
    </row>
    <row r="19" ht="22.5" customHeight="1">
      <c r="B19" s="23"/>
      <c r="C19" s="23"/>
      <c r="D19" s="23"/>
      <c r="E19" s="23"/>
      <c r="F19" s="23"/>
      <c r="G19" s="23"/>
      <c r="H19" s="23"/>
      <c r="I19" s="23"/>
      <c r="J19" s="23"/>
      <c r="K19" s="23"/>
      <c r="L19" s="23"/>
      <c r="M19" s="23"/>
    </row>
    <row r="20" ht="22.5" customHeight="1">
      <c r="B20" s="23"/>
      <c r="C20" s="23"/>
      <c r="D20" s="23"/>
      <c r="E20" s="23"/>
      <c r="F20" s="23"/>
      <c r="G20" s="23"/>
      <c r="H20" s="23"/>
      <c r="I20" s="23"/>
      <c r="J20" s="23"/>
      <c r="K20" s="23"/>
      <c r="L20" s="23"/>
      <c r="M20" s="23"/>
    </row>
    <row r="21" ht="22.5" customHeight="1">
      <c r="B21" s="23"/>
      <c r="C21" s="23"/>
      <c r="D21" s="23"/>
      <c r="E21" s="23"/>
      <c r="F21" s="23"/>
      <c r="G21" s="23"/>
      <c r="H21" s="23"/>
      <c r="I21" s="23"/>
      <c r="J21" s="23"/>
      <c r="K21" s="23"/>
      <c r="L21" s="23"/>
      <c r="M21" s="23"/>
    </row>
    <row r="22" ht="22.5" customHeight="1">
      <c r="B22" s="23"/>
      <c r="C22" s="23"/>
      <c r="D22" s="23"/>
      <c r="E22" s="23"/>
      <c r="F22" s="23"/>
      <c r="G22" s="23"/>
      <c r="H22" s="23"/>
      <c r="I22" s="23"/>
      <c r="J22" s="23"/>
      <c r="K22" s="23"/>
      <c r="L22" s="23"/>
      <c r="M22" s="23"/>
    </row>
    <row r="23" ht="22.5" customHeight="1">
      <c r="B23" s="23"/>
      <c r="C23" s="23"/>
      <c r="D23" s="23"/>
      <c r="E23" s="23"/>
      <c r="F23" s="23"/>
      <c r="G23" s="23"/>
      <c r="H23" s="23"/>
      <c r="I23" s="23"/>
      <c r="J23" s="23"/>
      <c r="K23" s="23"/>
      <c r="L23" s="23"/>
      <c r="M23" s="23"/>
    </row>
    <row r="24" ht="22.5" customHeight="1">
      <c r="B24" s="23"/>
      <c r="C24" s="23"/>
      <c r="D24" s="23"/>
      <c r="E24" s="23"/>
      <c r="F24" s="23"/>
      <c r="G24" s="23"/>
      <c r="H24" s="23"/>
      <c r="I24" s="23"/>
      <c r="J24" s="23"/>
      <c r="K24" s="23"/>
      <c r="L24" s="23"/>
      <c r="M24" s="23"/>
    </row>
    <row r="25" ht="22.5" customHeight="1">
      <c r="B25" s="23"/>
      <c r="C25" s="23"/>
      <c r="D25" s="23"/>
      <c r="E25" s="23"/>
      <c r="F25" s="23"/>
      <c r="G25" s="23"/>
      <c r="H25" s="23"/>
      <c r="I25" s="23"/>
      <c r="J25" s="23"/>
      <c r="K25" s="23"/>
      <c r="L25" s="23"/>
      <c r="M25" s="23"/>
    </row>
    <row r="26" ht="22.5" customHeight="1">
      <c r="B26" s="23"/>
      <c r="C26" s="23"/>
      <c r="D26" s="23"/>
      <c r="E26" s="23"/>
      <c r="F26" s="23"/>
      <c r="G26" s="23"/>
      <c r="H26" s="23"/>
      <c r="I26" s="23"/>
      <c r="J26" s="23"/>
      <c r="K26" s="23"/>
      <c r="L26" s="23"/>
      <c r="M26" s="23"/>
    </row>
    <row r="27" ht="22.5" customHeight="1">
      <c r="B27" s="23"/>
      <c r="C27" s="23"/>
      <c r="D27" s="23"/>
      <c r="E27" s="23"/>
      <c r="F27" s="23"/>
      <c r="G27" s="23"/>
      <c r="H27" s="23"/>
      <c r="I27" s="23"/>
      <c r="J27" s="23"/>
      <c r="K27" s="23"/>
      <c r="L27" s="23"/>
      <c r="M27" s="23"/>
    </row>
    <row r="28" ht="22.5" customHeight="1">
      <c r="B28" s="23"/>
      <c r="C28" s="23"/>
      <c r="D28" s="23"/>
      <c r="E28" s="23"/>
      <c r="F28" s="23"/>
      <c r="G28" s="23"/>
      <c r="H28" s="23"/>
      <c r="I28" s="23"/>
      <c r="J28" s="23"/>
      <c r="K28" s="23"/>
      <c r="L28" s="23"/>
      <c r="M28" s="23"/>
    </row>
    <row r="29" ht="22.5" customHeight="1">
      <c r="B29" s="23"/>
      <c r="C29" s="23"/>
      <c r="D29" s="23"/>
      <c r="E29" s="23"/>
      <c r="F29" s="23"/>
      <c r="G29" s="23"/>
      <c r="H29" s="23"/>
      <c r="I29" s="23"/>
      <c r="J29" s="23"/>
      <c r="K29" s="23"/>
      <c r="L29" s="23"/>
      <c r="M29" s="23"/>
    </row>
    <row r="30" ht="22.5" customHeight="1">
      <c r="B30" s="23"/>
      <c r="C30" s="23"/>
      <c r="D30" s="23"/>
      <c r="E30" s="23"/>
      <c r="F30" s="23"/>
      <c r="G30" s="23"/>
      <c r="H30" s="23"/>
      <c r="I30" s="23"/>
      <c r="J30" s="23"/>
      <c r="K30" s="23"/>
      <c r="L30" s="23"/>
      <c r="M30" s="23"/>
    </row>
    <row r="31" ht="22.5" customHeight="1">
      <c r="B31" s="23"/>
      <c r="C31" s="23"/>
      <c r="D31" s="23"/>
      <c r="E31" s="23"/>
      <c r="F31" s="23"/>
      <c r="G31" s="23"/>
      <c r="H31" s="23"/>
      <c r="I31" s="23"/>
      <c r="J31" s="23"/>
      <c r="K31" s="23"/>
      <c r="L31" s="23"/>
      <c r="M31" s="23"/>
    </row>
    <row r="32" ht="22.5" customHeight="1">
      <c r="B32" s="23"/>
      <c r="C32" s="23"/>
      <c r="D32" s="23"/>
      <c r="E32" s="23"/>
      <c r="F32" s="23"/>
      <c r="G32" s="23"/>
      <c r="H32" s="23"/>
      <c r="I32" s="23"/>
      <c r="J32" s="23"/>
      <c r="K32" s="23"/>
      <c r="L32" s="23"/>
      <c r="M32" s="23"/>
    </row>
    <row r="33" ht="22.5" customHeight="1">
      <c r="B33" s="23"/>
      <c r="C33" s="23"/>
      <c r="D33" s="23"/>
      <c r="E33" s="23"/>
      <c r="F33" s="23"/>
      <c r="G33" s="23"/>
      <c r="H33" s="23"/>
      <c r="I33" s="23"/>
      <c r="J33" s="23"/>
      <c r="K33" s="23"/>
      <c r="L33" s="23"/>
      <c r="M33" s="23"/>
    </row>
    <row r="34" ht="22.5" customHeight="1">
      <c r="B34" s="23"/>
      <c r="C34" s="23"/>
      <c r="D34" s="23"/>
      <c r="E34" s="23"/>
      <c r="F34" s="23"/>
      <c r="G34" s="23"/>
      <c r="H34" s="23"/>
      <c r="I34" s="23"/>
      <c r="J34" s="23"/>
      <c r="K34" s="23"/>
      <c r="L34" s="23"/>
      <c r="M34" s="23"/>
    </row>
    <row r="35" ht="22.5" customHeight="1">
      <c r="B35" s="23"/>
      <c r="C35" s="23"/>
      <c r="D35" s="23"/>
      <c r="E35" s="23"/>
      <c r="F35" s="23"/>
      <c r="G35" s="23"/>
      <c r="H35" s="23"/>
      <c r="I35" s="23"/>
      <c r="J35" s="23"/>
      <c r="K35" s="23"/>
      <c r="L35" s="23"/>
      <c r="M35" s="23"/>
    </row>
    <row r="36" ht="22.5" customHeight="1">
      <c r="B36" s="23"/>
      <c r="C36" s="23"/>
      <c r="D36" s="23"/>
      <c r="E36" s="23"/>
      <c r="F36" s="23"/>
      <c r="G36" s="23"/>
      <c r="H36" s="23"/>
      <c r="I36" s="23"/>
      <c r="J36" s="23"/>
      <c r="K36" s="23"/>
      <c r="L36" s="23"/>
      <c r="M36" s="23"/>
    </row>
    <row r="37" ht="22.5" customHeight="1">
      <c r="B37" s="23"/>
      <c r="C37" s="23"/>
      <c r="D37" s="23"/>
      <c r="E37" s="23"/>
      <c r="F37" s="23"/>
      <c r="G37" s="23"/>
      <c r="H37" s="23"/>
      <c r="I37" s="23"/>
      <c r="J37" s="23"/>
      <c r="K37" s="23"/>
      <c r="L37" s="23"/>
      <c r="M37" s="23"/>
    </row>
    <row r="38" ht="22.5" customHeight="1">
      <c r="B38" s="23"/>
      <c r="C38" s="23"/>
      <c r="D38" s="23"/>
      <c r="E38" s="23"/>
      <c r="F38" s="23"/>
      <c r="G38" s="23"/>
      <c r="H38" s="23"/>
      <c r="I38" s="23"/>
      <c r="J38" s="23"/>
      <c r="K38" s="23"/>
      <c r="L38" s="23"/>
      <c r="M38" s="23"/>
    </row>
    <row r="39" ht="22.5" customHeight="1">
      <c r="B39" s="23"/>
      <c r="C39" s="23"/>
      <c r="D39" s="23"/>
      <c r="E39" s="23"/>
      <c r="F39" s="23"/>
      <c r="G39" s="23"/>
      <c r="H39" s="23"/>
      <c r="I39" s="23"/>
      <c r="J39" s="23"/>
      <c r="K39" s="23"/>
      <c r="L39" s="23"/>
      <c r="M39" s="23"/>
    </row>
    <row r="40" ht="22.5" customHeight="1">
      <c r="B40" s="23"/>
      <c r="C40" s="23"/>
      <c r="D40" s="23"/>
      <c r="E40" s="23"/>
      <c r="F40" s="23"/>
      <c r="G40" s="23"/>
      <c r="H40" s="23"/>
      <c r="I40" s="23"/>
      <c r="J40" s="23"/>
      <c r="K40" s="23"/>
      <c r="L40" s="23"/>
      <c r="M40" s="23"/>
    </row>
    <row r="41" ht="22.5" customHeight="1">
      <c r="B41" s="23"/>
      <c r="C41" s="23"/>
      <c r="D41" s="23"/>
      <c r="E41" s="23"/>
      <c r="F41" s="23"/>
      <c r="G41" s="23"/>
      <c r="H41" s="23"/>
      <c r="I41" s="23"/>
      <c r="J41" s="23"/>
      <c r="K41" s="23"/>
      <c r="L41" s="23"/>
      <c r="M41" s="23"/>
    </row>
    <row r="42" ht="22.5" customHeight="1">
      <c r="B42" s="23"/>
      <c r="C42" s="23"/>
      <c r="D42" s="23"/>
      <c r="E42" s="23"/>
      <c r="F42" s="23"/>
      <c r="G42" s="23"/>
      <c r="H42" s="23"/>
      <c r="I42" s="23"/>
      <c r="J42" s="23"/>
      <c r="K42" s="23"/>
      <c r="L42" s="23"/>
      <c r="M42" s="23"/>
    </row>
    <row r="43" ht="22.5" customHeight="1">
      <c r="B43" s="23"/>
      <c r="C43" s="23"/>
      <c r="D43" s="23"/>
      <c r="E43" s="23"/>
      <c r="F43" s="23"/>
      <c r="G43" s="23"/>
      <c r="H43" s="23"/>
      <c r="I43" s="23"/>
      <c r="J43" s="23"/>
      <c r="K43" s="23"/>
      <c r="L43" s="23"/>
      <c r="M43" s="23"/>
    </row>
    <row r="44" ht="22.5" customHeight="1">
      <c r="B44" s="23"/>
      <c r="C44" s="23"/>
      <c r="D44" s="23"/>
      <c r="E44" s="23"/>
      <c r="F44" s="23"/>
      <c r="G44" s="23"/>
      <c r="H44" s="23"/>
      <c r="I44" s="23"/>
      <c r="J44" s="23"/>
      <c r="K44" s="23"/>
      <c r="L44" s="23"/>
      <c r="M44" s="23"/>
    </row>
    <row r="45" ht="22.5" customHeight="1">
      <c r="B45" s="23"/>
      <c r="C45" s="23"/>
      <c r="D45" s="23"/>
      <c r="E45" s="23"/>
      <c r="F45" s="23"/>
      <c r="G45" s="23"/>
      <c r="H45" s="23"/>
      <c r="I45" s="23"/>
      <c r="J45" s="23"/>
      <c r="K45" s="23"/>
      <c r="L45" s="23"/>
      <c r="M45" s="23"/>
    </row>
    <row r="46">
      <c r="F46" s="1"/>
    </row>
    <row r="47">
      <c r="F47" s="1"/>
    </row>
    <row r="48">
      <c r="F48" s="1"/>
    </row>
    <row r="49">
      <c r="F49" s="1"/>
    </row>
    <row r="50">
      <c r="F50" s="1"/>
    </row>
    <row r="51">
      <c r="F51" s="1"/>
    </row>
    <row r="52">
      <c r="F52" s="1"/>
    </row>
    <row r="53">
      <c r="F53" s="1"/>
    </row>
    <row r="54">
      <c r="F54" s="1"/>
    </row>
    <row r="55">
      <c r="F55" s="1"/>
    </row>
    <row r="56">
      <c r="F56" s="1"/>
    </row>
    <row r="57">
      <c r="F57" s="1"/>
    </row>
    <row r="58">
      <c r="F58" s="1"/>
    </row>
    <row r="59">
      <c r="F59" s="1"/>
    </row>
    <row r="60">
      <c r="F60" s="1"/>
    </row>
    <row r="61">
      <c r="F61" s="1"/>
    </row>
    <row r="62">
      <c r="F62" s="1"/>
    </row>
    <row r="63">
      <c r="F63" s="1"/>
    </row>
    <row r="64">
      <c r="F64" s="1"/>
    </row>
    <row r="65">
      <c r="F65" s="1"/>
    </row>
    <row r="66">
      <c r="F66" s="1"/>
    </row>
    <row r="67">
      <c r="F67" s="1"/>
    </row>
    <row r="68">
      <c r="F68" s="1"/>
    </row>
    <row r="69">
      <c r="F69" s="1"/>
    </row>
    <row r="70">
      <c r="F70" s="1"/>
    </row>
    <row r="71">
      <c r="F71" s="1"/>
    </row>
    <row r="72">
      <c r="F72" s="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row>
    <row r="90">
      <c r="F90" s="1"/>
    </row>
    <row r="91">
      <c r="F91" s="1"/>
    </row>
    <row r="92">
      <c r="F92" s="1"/>
    </row>
    <row r="93">
      <c r="F93" s="1"/>
    </row>
    <row r="94">
      <c r="F94" s="1"/>
    </row>
    <row r="95">
      <c r="F95" s="1"/>
    </row>
    <row r="96">
      <c r="F96" s="1"/>
    </row>
    <row r="97">
      <c r="F97" s="1"/>
    </row>
    <row r="98">
      <c r="F98" s="1"/>
    </row>
    <row r="99">
      <c r="F99" s="1"/>
    </row>
    <row r="100">
      <c r="F100" s="1"/>
    </row>
    <row r="101">
      <c r="F101" s="1"/>
    </row>
    <row r="102">
      <c r="F102" s="1"/>
    </row>
    <row r="103">
      <c r="F103" s="1"/>
    </row>
    <row r="104">
      <c r="F104" s="1"/>
    </row>
    <row r="105">
      <c r="F105" s="1"/>
    </row>
    <row r="106">
      <c r="F106" s="1"/>
    </row>
    <row r="107">
      <c r="F107" s="1"/>
    </row>
    <row r="108">
      <c r="F108" s="1"/>
    </row>
    <row r="109">
      <c r="F109" s="1"/>
    </row>
    <row r="110">
      <c r="F110" s="1"/>
    </row>
    <row r="111">
      <c r="F111" s="1"/>
    </row>
    <row r="112">
      <c r="F112" s="1"/>
    </row>
    <row r="113">
      <c r="F113" s="1"/>
    </row>
    <row r="114">
      <c r="F114" s="1"/>
    </row>
    <row r="115">
      <c r="F115" s="1"/>
    </row>
    <row r="116">
      <c r="F116" s="1"/>
    </row>
    <row r="117">
      <c r="F117" s="1"/>
    </row>
    <row r="118">
      <c r="F118" s="1"/>
    </row>
    <row r="119">
      <c r="F119" s="1"/>
    </row>
    <row r="120">
      <c r="F120" s="1"/>
    </row>
    <row r="121">
      <c r="F121" s="1"/>
    </row>
    <row r="122">
      <c r="F122" s="1"/>
    </row>
    <row r="123">
      <c r="F123" s="1"/>
    </row>
    <row r="124">
      <c r="F124" s="1"/>
    </row>
    <row r="125">
      <c r="F125" s="1"/>
    </row>
    <row r="126">
      <c r="F126" s="1"/>
    </row>
    <row r="127">
      <c r="F127" s="1"/>
    </row>
    <row r="128">
      <c r="F128" s="1"/>
    </row>
    <row r="129">
      <c r="F129" s="1"/>
    </row>
    <row r="130">
      <c r="F130" s="1"/>
    </row>
    <row r="131">
      <c r="F131" s="1"/>
    </row>
    <row r="132">
      <c r="F132" s="1"/>
    </row>
    <row r="133">
      <c r="F133" s="1"/>
    </row>
    <row r="134">
      <c r="F134" s="1"/>
    </row>
    <row r="135">
      <c r="F135" s="1"/>
    </row>
    <row r="136">
      <c r="F136" s="1"/>
    </row>
    <row r="137">
      <c r="F137" s="1"/>
    </row>
    <row r="138">
      <c r="F138" s="1"/>
    </row>
    <row r="139">
      <c r="F139" s="1"/>
    </row>
    <row r="140">
      <c r="F140" s="1"/>
    </row>
    <row r="141">
      <c r="F141" s="1"/>
    </row>
    <row r="142">
      <c r="F142" s="1"/>
    </row>
    <row r="143">
      <c r="F143" s="1"/>
    </row>
    <row r="144">
      <c r="F144" s="1"/>
    </row>
    <row r="145">
      <c r="F145" s="1"/>
    </row>
    <row r="146">
      <c r="F146" s="1"/>
    </row>
    <row r="147">
      <c r="F147" s="1"/>
    </row>
    <row r="148">
      <c r="F148" s="1"/>
    </row>
    <row r="149">
      <c r="F149" s="1"/>
    </row>
    <row r="150">
      <c r="F150" s="1"/>
    </row>
    <row r="151">
      <c r="F151" s="1"/>
    </row>
    <row r="152">
      <c r="F152" s="1"/>
    </row>
    <row r="153">
      <c r="F153" s="1"/>
    </row>
    <row r="154">
      <c r="F154" s="1"/>
    </row>
    <row r="155">
      <c r="F155" s="1"/>
    </row>
    <row r="156">
      <c r="F156" s="1"/>
    </row>
    <row r="157">
      <c r="F157" s="1"/>
    </row>
    <row r="158">
      <c r="F158" s="1"/>
    </row>
    <row r="159">
      <c r="F159" s="1"/>
    </row>
    <row r="160">
      <c r="F160" s="1"/>
    </row>
    <row r="161">
      <c r="F161" s="1"/>
    </row>
    <row r="162">
      <c r="F162" s="1"/>
    </row>
    <row r="163">
      <c r="F163" s="1"/>
    </row>
    <row r="164">
      <c r="F164" s="1"/>
    </row>
    <row r="165">
      <c r="F165" s="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row r="235">
      <c r="F235" s="1"/>
    </row>
    <row r="236">
      <c r="F236" s="1"/>
    </row>
    <row r="237">
      <c r="F237" s="1"/>
    </row>
    <row r="238">
      <c r="F238" s="1"/>
    </row>
    <row r="239">
      <c r="F239" s="1"/>
    </row>
    <row r="240">
      <c r="F240" s="1"/>
    </row>
    <row r="241">
      <c r="F241" s="1"/>
    </row>
    <row r="242">
      <c r="F242" s="1"/>
    </row>
    <row r="243">
      <c r="F243" s="1"/>
    </row>
    <row r="244">
      <c r="F244" s="1"/>
    </row>
    <row r="245">
      <c r="F245" s="1"/>
    </row>
    <row r="246">
      <c r="F246" s="1"/>
    </row>
    <row r="247">
      <c r="F247" s="1"/>
    </row>
    <row r="248">
      <c r="F248" s="1"/>
    </row>
    <row r="249">
      <c r="F249" s="1"/>
    </row>
    <row r="250">
      <c r="F250" s="1"/>
    </row>
    <row r="251">
      <c r="F251" s="1"/>
    </row>
    <row r="252">
      <c r="F252" s="1"/>
    </row>
    <row r="253">
      <c r="F253" s="1"/>
    </row>
    <row r="254">
      <c r="F254" s="1"/>
    </row>
    <row r="255">
      <c r="F255" s="1"/>
    </row>
    <row r="256">
      <c r="F256" s="1"/>
    </row>
    <row r="257">
      <c r="F257" s="1"/>
    </row>
    <row r="258">
      <c r="F258" s="1"/>
    </row>
    <row r="259">
      <c r="F259" s="1"/>
    </row>
    <row r="260">
      <c r="F260" s="1"/>
    </row>
    <row r="261">
      <c r="F261" s="1"/>
    </row>
    <row r="262">
      <c r="F262" s="1"/>
    </row>
    <row r="263">
      <c r="F263" s="1"/>
    </row>
    <row r="264">
      <c r="F264" s="1"/>
    </row>
    <row r="265">
      <c r="F265" s="1"/>
    </row>
    <row r="266">
      <c r="F266" s="1"/>
    </row>
    <row r="267">
      <c r="F267" s="1"/>
    </row>
    <row r="268">
      <c r="F268" s="1"/>
    </row>
    <row r="269">
      <c r="F269" s="1"/>
    </row>
    <row r="270">
      <c r="F270" s="1"/>
    </row>
    <row r="271">
      <c r="F271" s="1"/>
    </row>
    <row r="272">
      <c r="F272" s="1"/>
    </row>
    <row r="273">
      <c r="F273" s="1"/>
    </row>
    <row r="274">
      <c r="F274" s="1"/>
    </row>
    <row r="275">
      <c r="F275" s="1"/>
    </row>
    <row r="276">
      <c r="F276" s="1"/>
    </row>
    <row r="277">
      <c r="F277" s="1"/>
    </row>
    <row r="278">
      <c r="F278" s="1"/>
    </row>
    <row r="279">
      <c r="F279" s="1"/>
    </row>
    <row r="280">
      <c r="F280" s="1"/>
    </row>
    <row r="281">
      <c r="F281" s="1"/>
    </row>
    <row r="282">
      <c r="F282" s="1"/>
    </row>
    <row r="283">
      <c r="F283" s="1"/>
    </row>
    <row r="284">
      <c r="F284" s="1"/>
    </row>
    <row r="285">
      <c r="F285" s="1"/>
    </row>
    <row r="286">
      <c r="F286" s="1"/>
    </row>
    <row r="287">
      <c r="F287" s="1"/>
    </row>
    <row r="288">
      <c r="F288" s="1"/>
    </row>
    <row r="289">
      <c r="F289" s="1"/>
    </row>
    <row r="290">
      <c r="F290" s="1"/>
    </row>
    <row r="291">
      <c r="F291" s="1"/>
    </row>
    <row r="292">
      <c r="F292" s="1"/>
    </row>
    <row r="293">
      <c r="F293" s="1"/>
    </row>
    <row r="294">
      <c r="F294" s="1"/>
    </row>
    <row r="295">
      <c r="F295" s="1"/>
    </row>
    <row r="296">
      <c r="F296" s="1"/>
    </row>
    <row r="297">
      <c r="F297" s="1"/>
    </row>
    <row r="298">
      <c r="F298" s="1"/>
    </row>
    <row r="299">
      <c r="F299" s="1"/>
    </row>
    <row r="300">
      <c r="F300" s="1"/>
    </row>
    <row r="301">
      <c r="F301" s="1"/>
    </row>
    <row r="302">
      <c r="F302" s="1"/>
    </row>
    <row r="303">
      <c r="F303" s="1"/>
    </row>
    <row r="304">
      <c r="F304" s="1"/>
    </row>
    <row r="305">
      <c r="F305" s="1"/>
    </row>
    <row r="306">
      <c r="F306" s="1"/>
    </row>
    <row r="307">
      <c r="F307" s="1"/>
    </row>
    <row r="308">
      <c r="F308" s="1"/>
    </row>
    <row r="309">
      <c r="F309" s="1"/>
    </row>
    <row r="310">
      <c r="F310" s="1"/>
    </row>
    <row r="311">
      <c r="F311" s="1"/>
    </row>
    <row r="312">
      <c r="F312" s="1"/>
    </row>
    <row r="313">
      <c r="F313" s="1"/>
    </row>
    <row r="314">
      <c r="F314" s="1"/>
    </row>
    <row r="315">
      <c r="F315" s="1"/>
    </row>
    <row r="316">
      <c r="F316" s="1"/>
    </row>
    <row r="317">
      <c r="F317" s="1"/>
    </row>
    <row r="318">
      <c r="F318" s="1"/>
    </row>
    <row r="319">
      <c r="F319" s="1"/>
    </row>
    <row r="320">
      <c r="F320" s="1"/>
    </row>
    <row r="321">
      <c r="F321" s="1"/>
    </row>
    <row r="322">
      <c r="F322" s="1"/>
    </row>
    <row r="323">
      <c r="F323" s="1"/>
    </row>
    <row r="324">
      <c r="F324" s="1"/>
    </row>
    <row r="325">
      <c r="F325" s="1"/>
    </row>
    <row r="326">
      <c r="F326" s="1"/>
    </row>
    <row r="327">
      <c r="F327" s="1"/>
    </row>
    <row r="328">
      <c r="F328" s="1"/>
    </row>
    <row r="329">
      <c r="F329" s="1"/>
    </row>
    <row r="330">
      <c r="F330" s="1"/>
    </row>
    <row r="331">
      <c r="F331" s="1"/>
    </row>
    <row r="332">
      <c r="F332" s="1"/>
    </row>
    <row r="333">
      <c r="F333" s="1"/>
    </row>
    <row r="334">
      <c r="F334" s="1"/>
    </row>
    <row r="335">
      <c r="F335" s="1"/>
    </row>
    <row r="336">
      <c r="F336" s="1"/>
    </row>
    <row r="337">
      <c r="F337" s="1"/>
    </row>
    <row r="338">
      <c r="F338" s="1"/>
    </row>
    <row r="339">
      <c r="F339" s="1"/>
    </row>
    <row r="340">
      <c r="F340" s="1"/>
    </row>
    <row r="341">
      <c r="F341" s="1"/>
    </row>
    <row r="342">
      <c r="F342" s="1"/>
    </row>
    <row r="343">
      <c r="F343" s="1"/>
    </row>
    <row r="344">
      <c r="F344" s="1"/>
    </row>
    <row r="345">
      <c r="F345" s="1"/>
    </row>
    <row r="346">
      <c r="F346" s="1"/>
    </row>
    <row r="347">
      <c r="F347" s="1"/>
    </row>
    <row r="348">
      <c r="F348" s="1"/>
    </row>
    <row r="349">
      <c r="F349" s="1"/>
    </row>
    <row r="350">
      <c r="F350" s="1"/>
    </row>
    <row r="351">
      <c r="F351" s="1"/>
    </row>
    <row r="352">
      <c r="F352" s="1"/>
    </row>
    <row r="353">
      <c r="F353" s="1"/>
    </row>
    <row r="354">
      <c r="F354" s="1"/>
    </row>
    <row r="355">
      <c r="F355" s="1"/>
    </row>
    <row r="356">
      <c r="F356" s="1"/>
    </row>
    <row r="357">
      <c r="F357" s="1"/>
    </row>
    <row r="358">
      <c r="F358" s="1"/>
    </row>
    <row r="359">
      <c r="F359" s="1"/>
    </row>
    <row r="360">
      <c r="F360" s="1"/>
    </row>
    <row r="361">
      <c r="F361" s="1"/>
    </row>
    <row r="362">
      <c r="F362" s="1"/>
    </row>
    <row r="363">
      <c r="F363" s="1"/>
    </row>
    <row r="364">
      <c r="F364" s="1"/>
    </row>
    <row r="365">
      <c r="F365" s="1"/>
    </row>
    <row r="366">
      <c r="F366" s="1"/>
    </row>
    <row r="367">
      <c r="F367" s="1"/>
    </row>
    <row r="368">
      <c r="F368" s="1"/>
    </row>
    <row r="369">
      <c r="F369" s="1"/>
    </row>
    <row r="370">
      <c r="F370" s="1"/>
    </row>
    <row r="371">
      <c r="F371" s="1"/>
    </row>
    <row r="372">
      <c r="F372" s="1"/>
    </row>
    <row r="373">
      <c r="F373" s="1"/>
    </row>
    <row r="374">
      <c r="F374" s="1"/>
    </row>
    <row r="375">
      <c r="F375" s="1"/>
    </row>
    <row r="376">
      <c r="F376" s="1"/>
    </row>
    <row r="377">
      <c r="F377" s="1"/>
    </row>
    <row r="378">
      <c r="F378" s="1"/>
    </row>
    <row r="379">
      <c r="F379" s="1"/>
    </row>
    <row r="380">
      <c r="F380" s="1"/>
    </row>
    <row r="381">
      <c r="F381" s="1"/>
    </row>
    <row r="382">
      <c r="F382" s="1"/>
    </row>
    <row r="383">
      <c r="F383" s="1"/>
    </row>
    <row r="384">
      <c r="F384" s="1"/>
    </row>
    <row r="385">
      <c r="F385" s="1"/>
    </row>
    <row r="386">
      <c r="F386" s="1"/>
    </row>
    <row r="387">
      <c r="F387" s="1"/>
    </row>
    <row r="388">
      <c r="F388" s="1"/>
    </row>
    <row r="389">
      <c r="F389" s="1"/>
    </row>
    <row r="390">
      <c r="F390" s="1"/>
    </row>
    <row r="391">
      <c r="F391" s="1"/>
    </row>
    <row r="392">
      <c r="F392" s="1"/>
    </row>
    <row r="393">
      <c r="F393" s="1"/>
    </row>
    <row r="394">
      <c r="F394" s="1"/>
    </row>
    <row r="395">
      <c r="F395" s="1"/>
    </row>
    <row r="396">
      <c r="F396" s="1"/>
    </row>
    <row r="397">
      <c r="F397" s="1"/>
    </row>
    <row r="398">
      <c r="F398" s="1"/>
    </row>
    <row r="399">
      <c r="F399" s="1"/>
    </row>
    <row r="400">
      <c r="F400" s="1"/>
    </row>
    <row r="401">
      <c r="F401" s="1"/>
    </row>
    <row r="402">
      <c r="F402" s="1"/>
    </row>
    <row r="403">
      <c r="F403" s="1"/>
    </row>
    <row r="404">
      <c r="F404" s="1"/>
    </row>
    <row r="405">
      <c r="F405" s="1"/>
    </row>
    <row r="406">
      <c r="F406" s="1"/>
    </row>
    <row r="407">
      <c r="F407" s="1"/>
    </row>
    <row r="408">
      <c r="F408" s="1"/>
    </row>
    <row r="409">
      <c r="F409" s="1"/>
    </row>
    <row r="410">
      <c r="F410" s="1"/>
    </row>
    <row r="411">
      <c r="F411" s="1"/>
    </row>
    <row r="412">
      <c r="F412" s="1"/>
    </row>
    <row r="413">
      <c r="F413" s="1"/>
    </row>
    <row r="414">
      <c r="F414" s="1"/>
    </row>
    <row r="415">
      <c r="F415" s="1"/>
    </row>
    <row r="416">
      <c r="F416" s="1"/>
    </row>
    <row r="417">
      <c r="F417" s="1"/>
    </row>
    <row r="418">
      <c r="F418" s="1"/>
    </row>
    <row r="419">
      <c r="F419" s="1"/>
    </row>
    <row r="420">
      <c r="F420" s="1"/>
    </row>
    <row r="421">
      <c r="F421" s="1"/>
    </row>
    <row r="422">
      <c r="F422" s="1"/>
    </row>
    <row r="423">
      <c r="F423" s="1"/>
    </row>
    <row r="424">
      <c r="F424" s="1"/>
    </row>
    <row r="425">
      <c r="F425" s="1"/>
    </row>
    <row r="426">
      <c r="F426" s="1"/>
    </row>
    <row r="427">
      <c r="F427" s="1"/>
    </row>
    <row r="428">
      <c r="F428" s="1"/>
    </row>
    <row r="429">
      <c r="F429" s="1"/>
    </row>
    <row r="430">
      <c r="F430" s="1"/>
    </row>
    <row r="431">
      <c r="F431" s="1"/>
    </row>
    <row r="432">
      <c r="F432" s="1"/>
    </row>
    <row r="433">
      <c r="F433" s="1"/>
    </row>
    <row r="434">
      <c r="F434" s="1"/>
    </row>
    <row r="435">
      <c r="F435" s="1"/>
    </row>
    <row r="436">
      <c r="F436" s="1"/>
    </row>
    <row r="437">
      <c r="F437" s="1"/>
    </row>
    <row r="438">
      <c r="F438" s="1"/>
    </row>
    <row r="439">
      <c r="F439" s="1"/>
    </row>
    <row r="440">
      <c r="F440" s="1"/>
    </row>
    <row r="441">
      <c r="F441" s="1"/>
    </row>
    <row r="442">
      <c r="F442" s="1"/>
    </row>
    <row r="443">
      <c r="F443" s="1"/>
    </row>
    <row r="444">
      <c r="F444" s="1"/>
    </row>
    <row r="445">
      <c r="F445" s="1"/>
    </row>
    <row r="446">
      <c r="F446" s="1"/>
    </row>
    <row r="447">
      <c r="F447" s="1"/>
    </row>
    <row r="448">
      <c r="F448" s="1"/>
    </row>
    <row r="449">
      <c r="F449" s="1"/>
    </row>
    <row r="450">
      <c r="F450" s="1"/>
    </row>
    <row r="451">
      <c r="F451" s="1"/>
    </row>
    <row r="452">
      <c r="F452" s="1"/>
    </row>
    <row r="453">
      <c r="F453" s="1"/>
    </row>
    <row r="454">
      <c r="F454" s="1"/>
    </row>
    <row r="455">
      <c r="F455" s="1"/>
    </row>
    <row r="456">
      <c r="F456" s="1"/>
    </row>
    <row r="457">
      <c r="F457" s="1"/>
    </row>
    <row r="458">
      <c r="F458" s="1"/>
    </row>
    <row r="459">
      <c r="F459" s="1"/>
    </row>
    <row r="460">
      <c r="F460" s="1"/>
    </row>
    <row r="461">
      <c r="F461" s="1"/>
    </row>
    <row r="462">
      <c r="F462" s="1"/>
    </row>
    <row r="463">
      <c r="F463" s="1"/>
    </row>
    <row r="464">
      <c r="F464" s="1"/>
    </row>
    <row r="465">
      <c r="F465" s="1"/>
    </row>
    <row r="466">
      <c r="F466" s="1"/>
    </row>
    <row r="467">
      <c r="F467" s="1"/>
    </row>
    <row r="468">
      <c r="F468" s="1"/>
    </row>
    <row r="469">
      <c r="F469" s="1"/>
    </row>
    <row r="470">
      <c r="F470" s="1"/>
    </row>
    <row r="471">
      <c r="F471" s="1"/>
    </row>
    <row r="472">
      <c r="F472" s="1"/>
    </row>
    <row r="473">
      <c r="F473" s="1"/>
    </row>
    <row r="474">
      <c r="F474" s="1"/>
    </row>
    <row r="475">
      <c r="F475" s="1"/>
    </row>
    <row r="476">
      <c r="F476" s="1"/>
    </row>
    <row r="477">
      <c r="F477" s="1"/>
    </row>
    <row r="478">
      <c r="F478" s="1"/>
    </row>
    <row r="479">
      <c r="F479" s="1"/>
    </row>
    <row r="480">
      <c r="F480" s="1"/>
    </row>
    <row r="481">
      <c r="F481" s="1"/>
    </row>
    <row r="482">
      <c r="F482" s="1"/>
    </row>
    <row r="483">
      <c r="F483" s="1"/>
    </row>
    <row r="484">
      <c r="F484" s="1"/>
    </row>
    <row r="485">
      <c r="F485" s="1"/>
    </row>
    <row r="486">
      <c r="F486" s="1"/>
    </row>
    <row r="487">
      <c r="F487" s="1"/>
    </row>
    <row r="488">
      <c r="F488" s="1"/>
    </row>
    <row r="489">
      <c r="F489" s="1"/>
    </row>
    <row r="490">
      <c r="F490" s="1"/>
    </row>
    <row r="491">
      <c r="F491" s="1"/>
    </row>
    <row r="492">
      <c r="F492" s="1"/>
    </row>
    <row r="493">
      <c r="F493" s="1"/>
    </row>
    <row r="494">
      <c r="F494" s="1"/>
    </row>
    <row r="495">
      <c r="F495" s="1"/>
    </row>
    <row r="496">
      <c r="F496" s="1"/>
    </row>
    <row r="497">
      <c r="F497" s="1"/>
    </row>
    <row r="498">
      <c r="F498" s="1"/>
    </row>
    <row r="499">
      <c r="F499" s="1"/>
    </row>
    <row r="500">
      <c r="F500" s="1"/>
    </row>
    <row r="501">
      <c r="F501" s="1"/>
    </row>
    <row r="502">
      <c r="F502" s="1"/>
    </row>
    <row r="503">
      <c r="F503" s="1"/>
    </row>
    <row r="504">
      <c r="F504" s="1"/>
    </row>
    <row r="505">
      <c r="F505" s="1"/>
    </row>
    <row r="506">
      <c r="F506" s="1"/>
    </row>
    <row r="507">
      <c r="F507" s="1"/>
    </row>
    <row r="508">
      <c r="F508" s="1"/>
    </row>
    <row r="509">
      <c r="F509" s="1"/>
    </row>
    <row r="510">
      <c r="F510" s="1"/>
    </row>
    <row r="511">
      <c r="F511" s="1"/>
    </row>
    <row r="512">
      <c r="F512" s="1"/>
    </row>
    <row r="513">
      <c r="F513" s="1"/>
    </row>
    <row r="514">
      <c r="F514" s="1"/>
    </row>
    <row r="515">
      <c r="F515" s="1"/>
    </row>
    <row r="516">
      <c r="F516" s="1"/>
    </row>
    <row r="517">
      <c r="F517" s="1"/>
    </row>
    <row r="518">
      <c r="F518" s="1"/>
    </row>
    <row r="519">
      <c r="F519" s="1"/>
    </row>
    <row r="520">
      <c r="F520" s="1"/>
    </row>
    <row r="521">
      <c r="F521" s="1"/>
    </row>
    <row r="522">
      <c r="F522" s="1"/>
    </row>
    <row r="523">
      <c r="F523" s="1"/>
    </row>
    <row r="524">
      <c r="F524" s="1"/>
    </row>
    <row r="525">
      <c r="F525" s="1"/>
    </row>
    <row r="526">
      <c r="F526" s="1"/>
    </row>
    <row r="527">
      <c r="F527" s="1"/>
    </row>
    <row r="528">
      <c r="F528" s="1"/>
    </row>
    <row r="529">
      <c r="F529" s="1"/>
    </row>
    <row r="530">
      <c r="F530" s="1"/>
    </row>
    <row r="531">
      <c r="F531" s="1"/>
    </row>
    <row r="532">
      <c r="F532" s="1"/>
    </row>
    <row r="533">
      <c r="F533" s="1"/>
    </row>
    <row r="534">
      <c r="F534" s="1"/>
    </row>
    <row r="535">
      <c r="F535" s="1"/>
    </row>
    <row r="536">
      <c r="F536" s="1"/>
    </row>
    <row r="537">
      <c r="F537" s="1"/>
    </row>
    <row r="538">
      <c r="F538" s="1"/>
    </row>
    <row r="539">
      <c r="F539" s="1"/>
    </row>
    <row r="540">
      <c r="F540" s="1"/>
    </row>
    <row r="541">
      <c r="F541" s="1"/>
    </row>
    <row r="542">
      <c r="F542" s="1"/>
    </row>
    <row r="543">
      <c r="F543" s="1"/>
    </row>
    <row r="544">
      <c r="F544" s="1"/>
    </row>
    <row r="545">
      <c r="F545" s="1"/>
    </row>
    <row r="546">
      <c r="F546" s="1"/>
    </row>
    <row r="547">
      <c r="F547" s="1"/>
    </row>
    <row r="548">
      <c r="F548" s="1"/>
    </row>
    <row r="549">
      <c r="F549" s="1"/>
    </row>
    <row r="550">
      <c r="F550" s="1"/>
    </row>
    <row r="551">
      <c r="F551" s="1"/>
    </row>
    <row r="552">
      <c r="F552" s="1"/>
    </row>
    <row r="553">
      <c r="F553" s="1"/>
    </row>
    <row r="554">
      <c r="F554" s="1"/>
    </row>
    <row r="555">
      <c r="F555" s="1"/>
    </row>
    <row r="556">
      <c r="F556" s="1"/>
    </row>
    <row r="557">
      <c r="F557" s="1"/>
    </row>
    <row r="558">
      <c r="F558" s="1"/>
    </row>
    <row r="559">
      <c r="F559" s="1"/>
    </row>
    <row r="560">
      <c r="F560" s="1"/>
    </row>
    <row r="561">
      <c r="F561" s="1"/>
    </row>
    <row r="562">
      <c r="F562" s="1"/>
    </row>
    <row r="563">
      <c r="F563" s="1"/>
    </row>
    <row r="564">
      <c r="F564" s="1"/>
    </row>
    <row r="565">
      <c r="F565" s="1"/>
    </row>
    <row r="566">
      <c r="F566" s="1"/>
    </row>
    <row r="567">
      <c r="F567" s="1"/>
    </row>
    <row r="568">
      <c r="F568" s="1"/>
    </row>
    <row r="569">
      <c r="F569" s="1"/>
    </row>
    <row r="570">
      <c r="F570" s="1"/>
    </row>
    <row r="571">
      <c r="F571" s="1"/>
    </row>
    <row r="572">
      <c r="F572" s="1"/>
    </row>
    <row r="573">
      <c r="F573" s="1"/>
    </row>
    <row r="574">
      <c r="F574" s="1"/>
    </row>
    <row r="575">
      <c r="F575" s="1"/>
    </row>
    <row r="576">
      <c r="F576" s="1"/>
    </row>
    <row r="577">
      <c r="F577" s="1"/>
    </row>
    <row r="578">
      <c r="F578" s="1"/>
    </row>
    <row r="579">
      <c r="F579" s="1"/>
    </row>
    <row r="580">
      <c r="F580" s="1"/>
    </row>
    <row r="581">
      <c r="F581" s="1"/>
    </row>
    <row r="582">
      <c r="F582" s="1"/>
    </row>
    <row r="583">
      <c r="F583" s="1"/>
    </row>
    <row r="584">
      <c r="F584" s="1"/>
    </row>
    <row r="585">
      <c r="F585" s="1"/>
    </row>
    <row r="586">
      <c r="F586" s="1"/>
    </row>
    <row r="587">
      <c r="F587" s="1"/>
    </row>
    <row r="588">
      <c r="F588" s="1"/>
    </row>
    <row r="589">
      <c r="F589" s="1"/>
    </row>
    <row r="590">
      <c r="F590" s="1"/>
    </row>
    <row r="591">
      <c r="F591" s="1"/>
    </row>
    <row r="592">
      <c r="F592" s="1"/>
    </row>
    <row r="593">
      <c r="F593" s="1"/>
    </row>
    <row r="594">
      <c r="F594" s="1"/>
    </row>
    <row r="595">
      <c r="F595" s="1"/>
    </row>
    <row r="596">
      <c r="F596" s="1"/>
    </row>
    <row r="597">
      <c r="F597" s="1"/>
    </row>
    <row r="598">
      <c r="F598" s="1"/>
    </row>
    <row r="599">
      <c r="F599" s="1"/>
    </row>
    <row r="600">
      <c r="F600" s="1"/>
    </row>
    <row r="601">
      <c r="F601" s="1"/>
    </row>
    <row r="602">
      <c r="F602" s="1"/>
    </row>
    <row r="603">
      <c r="F603" s="1"/>
    </row>
    <row r="604">
      <c r="F604" s="1"/>
    </row>
    <row r="605">
      <c r="F605" s="1"/>
    </row>
    <row r="606">
      <c r="F606" s="1"/>
    </row>
    <row r="607">
      <c r="F607" s="1"/>
    </row>
    <row r="608">
      <c r="F608" s="1"/>
    </row>
    <row r="609">
      <c r="F609" s="1"/>
    </row>
    <row r="610">
      <c r="F610" s="1"/>
    </row>
    <row r="611">
      <c r="F611" s="1"/>
    </row>
    <row r="612">
      <c r="F612" s="1"/>
    </row>
    <row r="613">
      <c r="F613" s="1"/>
    </row>
    <row r="614">
      <c r="F614" s="1"/>
    </row>
    <row r="615">
      <c r="F615" s="1"/>
    </row>
    <row r="616">
      <c r="F616" s="1"/>
    </row>
    <row r="617">
      <c r="F617" s="1"/>
    </row>
    <row r="618">
      <c r="F618" s="1"/>
    </row>
    <row r="619">
      <c r="F619" s="1"/>
    </row>
    <row r="620">
      <c r="F620" s="1"/>
    </row>
    <row r="621">
      <c r="F621" s="1"/>
    </row>
    <row r="622">
      <c r="F622" s="1"/>
    </row>
    <row r="623">
      <c r="F623" s="1"/>
    </row>
    <row r="624">
      <c r="F624" s="1"/>
    </row>
    <row r="625">
      <c r="F625" s="1"/>
    </row>
    <row r="626">
      <c r="F626" s="1"/>
    </row>
    <row r="627">
      <c r="F627" s="1"/>
    </row>
    <row r="628">
      <c r="F628" s="1"/>
    </row>
    <row r="629">
      <c r="F629" s="1"/>
    </row>
    <row r="630">
      <c r="F630" s="1"/>
    </row>
    <row r="631">
      <c r="F631" s="1"/>
    </row>
    <row r="632">
      <c r="F632" s="1"/>
    </row>
    <row r="633">
      <c r="F633" s="1"/>
    </row>
    <row r="634">
      <c r="F634" s="1"/>
    </row>
    <row r="635">
      <c r="F635" s="1"/>
    </row>
    <row r="636">
      <c r="F636" s="1"/>
    </row>
    <row r="637">
      <c r="F637" s="1"/>
    </row>
    <row r="638">
      <c r="F638" s="1"/>
    </row>
    <row r="639">
      <c r="F639" s="1"/>
    </row>
    <row r="640">
      <c r="F640" s="1"/>
    </row>
    <row r="641">
      <c r="F641" s="1"/>
    </row>
    <row r="642">
      <c r="F642" s="1"/>
    </row>
    <row r="643">
      <c r="F643" s="1"/>
    </row>
    <row r="644">
      <c r="F644" s="1"/>
    </row>
    <row r="645">
      <c r="F645" s="1"/>
    </row>
    <row r="646">
      <c r="F646" s="1"/>
    </row>
    <row r="647">
      <c r="F647" s="1"/>
    </row>
    <row r="648">
      <c r="F648" s="1"/>
    </row>
    <row r="649">
      <c r="F649" s="1"/>
    </row>
    <row r="650">
      <c r="F650" s="1"/>
    </row>
    <row r="651">
      <c r="F651" s="1"/>
    </row>
    <row r="652">
      <c r="F652" s="1"/>
    </row>
    <row r="653">
      <c r="F653" s="1"/>
    </row>
    <row r="654">
      <c r="F654" s="1"/>
    </row>
    <row r="655">
      <c r="F655" s="1"/>
    </row>
    <row r="656">
      <c r="F656" s="1"/>
    </row>
    <row r="657">
      <c r="F657" s="1"/>
    </row>
    <row r="658">
      <c r="F658" s="1"/>
    </row>
    <row r="659">
      <c r="F659" s="1"/>
    </row>
    <row r="660">
      <c r="F660" s="1"/>
    </row>
    <row r="661">
      <c r="F661" s="1"/>
    </row>
    <row r="662">
      <c r="F662" s="1"/>
    </row>
    <row r="663">
      <c r="F663" s="1"/>
    </row>
    <row r="664">
      <c r="F664" s="1"/>
    </row>
    <row r="665">
      <c r="F665" s="1"/>
    </row>
    <row r="666">
      <c r="F666" s="1"/>
    </row>
    <row r="667">
      <c r="F667" s="1"/>
    </row>
    <row r="668">
      <c r="F668" s="1"/>
    </row>
    <row r="669">
      <c r="F669" s="1"/>
    </row>
    <row r="670">
      <c r="F670" s="1"/>
    </row>
    <row r="671">
      <c r="F671" s="1"/>
    </row>
    <row r="672">
      <c r="F672" s="1"/>
    </row>
    <row r="673">
      <c r="F673" s="1"/>
    </row>
    <row r="674">
      <c r="F674" s="1"/>
    </row>
    <row r="675">
      <c r="F675" s="1"/>
    </row>
    <row r="676">
      <c r="F676" s="1"/>
    </row>
    <row r="677">
      <c r="F677" s="1"/>
    </row>
    <row r="678">
      <c r="F678" s="1"/>
    </row>
    <row r="679">
      <c r="F679" s="1"/>
    </row>
    <row r="680">
      <c r="F680" s="1"/>
    </row>
    <row r="681">
      <c r="F681" s="1"/>
    </row>
    <row r="682">
      <c r="F682" s="1"/>
    </row>
    <row r="683">
      <c r="F683" s="1"/>
    </row>
    <row r="684">
      <c r="F684" s="1"/>
    </row>
    <row r="685">
      <c r="F685" s="1"/>
    </row>
    <row r="686">
      <c r="F686" s="1"/>
    </row>
    <row r="687">
      <c r="F687" s="1"/>
    </row>
    <row r="688">
      <c r="F688" s="1"/>
    </row>
    <row r="689">
      <c r="F689" s="1"/>
    </row>
    <row r="690">
      <c r="F690" s="1"/>
    </row>
    <row r="691">
      <c r="F691" s="1"/>
    </row>
    <row r="692">
      <c r="F692" s="1"/>
    </row>
    <row r="693">
      <c r="F693" s="1"/>
    </row>
    <row r="694">
      <c r="F694" s="1"/>
    </row>
    <row r="695">
      <c r="F695" s="1"/>
    </row>
    <row r="696">
      <c r="F696" s="1"/>
    </row>
    <row r="697">
      <c r="F697" s="1"/>
    </row>
    <row r="698">
      <c r="F698" s="1"/>
    </row>
    <row r="699">
      <c r="F699" s="1"/>
    </row>
    <row r="700">
      <c r="F700" s="1"/>
    </row>
    <row r="701">
      <c r="F701" s="1"/>
    </row>
    <row r="702">
      <c r="F702" s="1"/>
    </row>
    <row r="703">
      <c r="F703" s="1"/>
    </row>
    <row r="704">
      <c r="F704" s="1"/>
    </row>
    <row r="705">
      <c r="F705" s="1"/>
    </row>
    <row r="706">
      <c r="F706" s="1"/>
    </row>
    <row r="707">
      <c r="F707" s="1"/>
    </row>
    <row r="708">
      <c r="F708" s="1"/>
    </row>
    <row r="709">
      <c r="F709" s="1"/>
    </row>
    <row r="710">
      <c r="F710" s="1"/>
    </row>
    <row r="711">
      <c r="F711" s="1"/>
    </row>
    <row r="712">
      <c r="F712" s="1"/>
    </row>
    <row r="713">
      <c r="F713" s="1"/>
    </row>
    <row r="714">
      <c r="F714" s="1"/>
    </row>
    <row r="715">
      <c r="F715" s="1"/>
    </row>
    <row r="716">
      <c r="F716" s="1"/>
    </row>
    <row r="717">
      <c r="F717" s="1"/>
    </row>
    <row r="718">
      <c r="F718" s="1"/>
    </row>
    <row r="719">
      <c r="F719" s="1"/>
    </row>
    <row r="720">
      <c r="F720" s="1"/>
    </row>
    <row r="721">
      <c r="F721" s="1"/>
    </row>
    <row r="722">
      <c r="F722" s="1"/>
    </row>
    <row r="723">
      <c r="F723" s="1"/>
    </row>
    <row r="724">
      <c r="F724" s="1"/>
    </row>
    <row r="725">
      <c r="F725" s="1"/>
    </row>
    <row r="726">
      <c r="F726" s="1"/>
    </row>
    <row r="727">
      <c r="F727" s="1"/>
    </row>
    <row r="728">
      <c r="F728" s="1"/>
    </row>
    <row r="729">
      <c r="F729" s="1"/>
    </row>
    <row r="730">
      <c r="F730" s="1"/>
    </row>
    <row r="731">
      <c r="F731" s="1"/>
    </row>
    <row r="732">
      <c r="F732" s="1"/>
    </row>
    <row r="733">
      <c r="F733" s="1"/>
    </row>
    <row r="734">
      <c r="F734" s="1"/>
    </row>
    <row r="735">
      <c r="F735" s="1"/>
    </row>
    <row r="736">
      <c r="F736" s="1"/>
    </row>
    <row r="737">
      <c r="F737" s="1"/>
    </row>
    <row r="738">
      <c r="F738" s="1"/>
    </row>
    <row r="739">
      <c r="F739" s="1"/>
    </row>
    <row r="740">
      <c r="F740" s="1"/>
    </row>
    <row r="741">
      <c r="F741" s="1"/>
    </row>
    <row r="742">
      <c r="F742" s="1"/>
    </row>
    <row r="743">
      <c r="F743" s="1"/>
    </row>
    <row r="744">
      <c r="F744" s="1"/>
    </row>
    <row r="745">
      <c r="F745" s="1"/>
    </row>
    <row r="746">
      <c r="F746" s="1"/>
    </row>
    <row r="747">
      <c r="F747" s="1"/>
    </row>
    <row r="748">
      <c r="F748" s="1"/>
    </row>
    <row r="749">
      <c r="F749" s="1"/>
    </row>
    <row r="750">
      <c r="F750" s="1"/>
    </row>
    <row r="751">
      <c r="F751" s="1"/>
    </row>
    <row r="752">
      <c r="F752" s="1"/>
    </row>
    <row r="753">
      <c r="F753" s="1"/>
    </row>
    <row r="754">
      <c r="F754" s="1"/>
    </row>
    <row r="755">
      <c r="F755" s="1"/>
    </row>
    <row r="756">
      <c r="F756" s="1"/>
    </row>
    <row r="757">
      <c r="F757" s="1"/>
    </row>
    <row r="758">
      <c r="F758" s="1"/>
    </row>
    <row r="759">
      <c r="F759" s="1"/>
    </row>
    <row r="760">
      <c r="F760" s="1"/>
    </row>
    <row r="761">
      <c r="F761" s="1"/>
    </row>
    <row r="762">
      <c r="F762" s="1"/>
    </row>
    <row r="763">
      <c r="F763" s="1"/>
    </row>
    <row r="764">
      <c r="F764" s="1"/>
    </row>
    <row r="765">
      <c r="F765" s="1"/>
    </row>
    <row r="766">
      <c r="F766" s="1"/>
    </row>
    <row r="767">
      <c r="F767" s="1"/>
    </row>
    <row r="768">
      <c r="F768" s="1"/>
    </row>
    <row r="769">
      <c r="F769" s="1"/>
    </row>
    <row r="770">
      <c r="F770" s="1"/>
    </row>
    <row r="771">
      <c r="F771" s="1"/>
    </row>
    <row r="772">
      <c r="F772" s="1"/>
    </row>
    <row r="773">
      <c r="F773" s="1"/>
    </row>
    <row r="774">
      <c r="F774" s="1"/>
    </row>
    <row r="775">
      <c r="F775" s="1"/>
    </row>
    <row r="776">
      <c r="F776" s="1"/>
    </row>
    <row r="777">
      <c r="F777" s="1"/>
    </row>
    <row r="778">
      <c r="F778" s="1"/>
    </row>
    <row r="779">
      <c r="F779" s="1"/>
    </row>
    <row r="780">
      <c r="F780" s="1"/>
    </row>
    <row r="781">
      <c r="F781" s="1"/>
    </row>
    <row r="782">
      <c r="F782" s="1"/>
    </row>
    <row r="783">
      <c r="F783" s="1"/>
    </row>
    <row r="784">
      <c r="F784" s="1"/>
    </row>
    <row r="785">
      <c r="F785" s="1"/>
    </row>
    <row r="786">
      <c r="F786" s="1"/>
    </row>
    <row r="787">
      <c r="F787" s="1"/>
    </row>
    <row r="788">
      <c r="F788" s="1"/>
    </row>
    <row r="789">
      <c r="F789" s="1"/>
    </row>
    <row r="790">
      <c r="F790" s="1"/>
    </row>
    <row r="791">
      <c r="F791" s="1"/>
    </row>
    <row r="792">
      <c r="F792" s="1"/>
    </row>
    <row r="793">
      <c r="F793" s="1"/>
    </row>
    <row r="794">
      <c r="F794" s="1"/>
    </row>
    <row r="795">
      <c r="F795" s="1"/>
    </row>
    <row r="796">
      <c r="F796" s="1"/>
    </row>
    <row r="797">
      <c r="F797" s="1"/>
    </row>
    <row r="798">
      <c r="F798" s="1"/>
    </row>
    <row r="799">
      <c r="F799" s="1"/>
    </row>
    <row r="800">
      <c r="F800" s="1"/>
    </row>
    <row r="801">
      <c r="F801" s="1"/>
    </row>
    <row r="802">
      <c r="F802" s="1"/>
    </row>
    <row r="803">
      <c r="F803" s="1"/>
    </row>
    <row r="804">
      <c r="F804" s="1"/>
    </row>
    <row r="805">
      <c r="F805" s="1"/>
    </row>
    <row r="806">
      <c r="F806" s="1"/>
    </row>
    <row r="807">
      <c r="F807" s="1"/>
    </row>
    <row r="808">
      <c r="F808" s="1"/>
    </row>
    <row r="809">
      <c r="F809" s="1"/>
    </row>
    <row r="810">
      <c r="F810" s="1"/>
    </row>
    <row r="811">
      <c r="F811" s="1"/>
    </row>
    <row r="812">
      <c r="F812" s="1"/>
    </row>
    <row r="813">
      <c r="F813" s="1"/>
    </row>
    <row r="814">
      <c r="F814" s="1"/>
    </row>
    <row r="815">
      <c r="F815" s="1"/>
    </row>
    <row r="816">
      <c r="F816" s="1"/>
    </row>
    <row r="817">
      <c r="F817" s="1"/>
    </row>
    <row r="818">
      <c r="F818" s="1"/>
    </row>
    <row r="819">
      <c r="F819" s="1"/>
    </row>
    <row r="820">
      <c r="F820" s="1"/>
    </row>
    <row r="821">
      <c r="F821" s="1"/>
    </row>
    <row r="822">
      <c r="F822" s="1"/>
    </row>
    <row r="823">
      <c r="F823" s="1"/>
    </row>
    <row r="824">
      <c r="F824" s="1"/>
    </row>
    <row r="825">
      <c r="F825" s="1"/>
    </row>
    <row r="826">
      <c r="F826" s="1"/>
    </row>
    <row r="827">
      <c r="F827" s="1"/>
    </row>
    <row r="828">
      <c r="F828" s="1"/>
    </row>
    <row r="829">
      <c r="F829" s="1"/>
    </row>
    <row r="830">
      <c r="F830" s="1"/>
    </row>
    <row r="831">
      <c r="F831" s="1"/>
    </row>
    <row r="832">
      <c r="F832" s="1"/>
    </row>
    <row r="833">
      <c r="F833" s="1"/>
    </row>
    <row r="834">
      <c r="F834" s="1"/>
    </row>
    <row r="835">
      <c r="F835" s="1"/>
    </row>
    <row r="836">
      <c r="F836" s="1"/>
    </row>
    <row r="837">
      <c r="F837" s="1"/>
    </row>
    <row r="838">
      <c r="F838" s="1"/>
    </row>
    <row r="839">
      <c r="F839" s="1"/>
    </row>
    <row r="840">
      <c r="F840" s="1"/>
    </row>
    <row r="841">
      <c r="F841" s="1"/>
    </row>
    <row r="842">
      <c r="F842" s="1"/>
    </row>
    <row r="843">
      <c r="F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row r="914">
      <c r="F914" s="1"/>
    </row>
    <row r="915">
      <c r="F915" s="1"/>
    </row>
    <row r="916">
      <c r="F916" s="1"/>
    </row>
    <row r="917">
      <c r="F917" s="1"/>
    </row>
    <row r="918">
      <c r="F918" s="1"/>
    </row>
    <row r="919">
      <c r="F919" s="1"/>
    </row>
    <row r="920">
      <c r="F920" s="1"/>
    </row>
    <row r="921">
      <c r="F921" s="1"/>
    </row>
    <row r="922">
      <c r="F922" s="1"/>
    </row>
    <row r="923">
      <c r="F923" s="1"/>
    </row>
    <row r="924">
      <c r="F924" s="1"/>
    </row>
    <row r="925">
      <c r="F925" s="1"/>
    </row>
    <row r="926">
      <c r="F926" s="1"/>
    </row>
    <row r="927">
      <c r="F927" s="1"/>
    </row>
    <row r="928">
      <c r="F928" s="1"/>
    </row>
    <row r="929">
      <c r="F929" s="1"/>
    </row>
    <row r="930">
      <c r="F930" s="1"/>
    </row>
    <row r="931">
      <c r="F931" s="1"/>
    </row>
    <row r="932">
      <c r="F932" s="1"/>
    </row>
    <row r="933">
      <c r="F933" s="1"/>
    </row>
    <row r="934">
      <c r="F934" s="1"/>
    </row>
    <row r="935">
      <c r="F935" s="1"/>
    </row>
    <row r="936">
      <c r="F936" s="1"/>
    </row>
    <row r="937">
      <c r="F937" s="1"/>
    </row>
    <row r="938">
      <c r="F938" s="1"/>
    </row>
    <row r="939">
      <c r="F939" s="1"/>
    </row>
    <row r="940">
      <c r="F940" s="1"/>
    </row>
    <row r="941">
      <c r="F941" s="1"/>
    </row>
    <row r="942">
      <c r="F942" s="1"/>
    </row>
    <row r="943">
      <c r="F943" s="1"/>
    </row>
    <row r="944">
      <c r="F944" s="1"/>
    </row>
    <row r="945">
      <c r="F945" s="1"/>
    </row>
    <row r="946">
      <c r="F946" s="1"/>
    </row>
    <row r="947">
      <c r="F947" s="1"/>
    </row>
    <row r="948">
      <c r="F948" s="1"/>
    </row>
    <row r="949">
      <c r="F949" s="1"/>
    </row>
    <row r="950">
      <c r="F950" s="1"/>
    </row>
    <row r="951">
      <c r="F951" s="1"/>
    </row>
    <row r="952">
      <c r="F952" s="1"/>
    </row>
    <row r="953">
      <c r="F953" s="1"/>
    </row>
    <row r="954">
      <c r="F954" s="1"/>
    </row>
    <row r="955">
      <c r="F955" s="1"/>
    </row>
    <row r="956">
      <c r="F956" s="1"/>
    </row>
    <row r="957">
      <c r="F957" s="1"/>
    </row>
    <row r="958">
      <c r="F958" s="1"/>
    </row>
    <row r="959">
      <c r="F959" s="1"/>
    </row>
    <row r="960">
      <c r="F960" s="1"/>
    </row>
    <row r="961">
      <c r="F961" s="1"/>
    </row>
    <row r="962">
      <c r="F962" s="1"/>
    </row>
    <row r="963">
      <c r="F963" s="1"/>
    </row>
    <row r="964">
      <c r="F964" s="1"/>
    </row>
    <row r="965">
      <c r="F965" s="1"/>
    </row>
    <row r="966">
      <c r="F966" s="1"/>
    </row>
    <row r="967">
      <c r="F967" s="1"/>
    </row>
    <row r="968">
      <c r="F968" s="1"/>
    </row>
    <row r="969">
      <c r="F969" s="1"/>
    </row>
    <row r="970">
      <c r="F970" s="1"/>
    </row>
    <row r="971">
      <c r="F971" s="1"/>
    </row>
    <row r="972">
      <c r="F972" s="1"/>
    </row>
    <row r="973">
      <c r="F973" s="1"/>
    </row>
    <row r="974">
      <c r="F974" s="1"/>
    </row>
    <row r="975">
      <c r="F975" s="1"/>
    </row>
    <row r="976">
      <c r="F976" s="1"/>
    </row>
    <row r="977">
      <c r="F977" s="1"/>
    </row>
    <row r="978">
      <c r="F978" s="1"/>
    </row>
    <row r="979">
      <c r="F979" s="1"/>
    </row>
    <row r="980">
      <c r="F980" s="1"/>
    </row>
    <row r="981">
      <c r="F981" s="1"/>
    </row>
    <row r="982">
      <c r="F982" s="1"/>
    </row>
    <row r="983">
      <c r="F983" s="1"/>
    </row>
    <row r="984">
      <c r="F984" s="1"/>
    </row>
    <row r="985">
      <c r="F985" s="1"/>
    </row>
    <row r="986">
      <c r="F986" s="1"/>
    </row>
    <row r="987">
      <c r="F987" s="1"/>
    </row>
    <row r="988">
      <c r="F988" s="1"/>
    </row>
    <row r="989">
      <c r="F989" s="1"/>
    </row>
    <row r="990">
      <c r="F990" s="1"/>
    </row>
    <row r="991">
      <c r="F991" s="1"/>
    </row>
    <row r="992">
      <c r="F992" s="1"/>
    </row>
    <row r="993">
      <c r="F993" s="1"/>
    </row>
    <row r="994">
      <c r="F994" s="1"/>
    </row>
    <row r="995">
      <c r="F995" s="1"/>
    </row>
    <row r="996">
      <c r="F996" s="1"/>
    </row>
    <row r="997">
      <c r="F997" s="1"/>
    </row>
    <row r="998">
      <c r="F998" s="1"/>
    </row>
  </sheetData>
  <dataValidations>
    <dataValidation type="list" allowBlank="1" sqref="F2:F45">
      <formula1>"Raum,Fenster,Türen"</formula1>
    </dataValidation>
    <dataValidation type="list" allowBlank="1" sqref="E2:E45">
      <formula1>"Mengen,Leistung"</formula1>
    </dataValidation>
    <dataValidation type="list" allowBlank="1" sqref="H2:H45">
      <formula1>"Objektverwaltung,Leistungsspezifikation"</formula1>
    </dataValidation>
    <dataValidation type="list" allowBlank="1" sqref="B2:B45">
      <formula1>"Umfang,Decken,Wände,Fenster innen,Türen"</formula1>
    </dataValidation>
    <dataValidation type="list" allowBlank="1" sqref="I2:I45">
      <formula1>"Admin SE,Global,Onboarding"</formula1>
    </dataValidation>
    <dataValidation type="list" allowBlank="1" sqref="D2:D45">
      <formula1>"Global einmalig,Global am Tag,Tapete entfernen,Raufaser,Malervlies,Mustertapete,Überholungsanstrich,Neuanstrich Decken und Wände,Lackieren,Bodenbeläge,Keine"</formula1>
    </dataValidation>
  </dataValidations>
  <printOptions/>
  <pageMargins bottom="0.787401575" footer="0.0" header="0.0" left="0.7" right="0.7" top="0.7874015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7.75"/>
    <col customWidth="1" min="3" max="3" width="17.88"/>
    <col customWidth="1" min="4" max="5" width="11.0"/>
    <col customWidth="1" min="6" max="6" width="14.5"/>
    <col customWidth="1" min="7" max="7" width="20.0"/>
    <col customWidth="1" min="8" max="8" width="45.13"/>
    <col customWidth="1" min="9" max="28" width="11.0"/>
  </cols>
  <sheetData>
    <row r="1" ht="22.5" customHeight="1">
      <c r="A1" s="7"/>
      <c r="B1" s="32" t="s">
        <v>332</v>
      </c>
      <c r="C1" s="33" t="s">
        <v>334</v>
      </c>
      <c r="D1" s="33" t="s">
        <v>2</v>
      </c>
      <c r="E1" s="32" t="s">
        <v>3</v>
      </c>
      <c r="F1" s="32" t="s">
        <v>356</v>
      </c>
      <c r="G1" s="40" t="s">
        <v>17</v>
      </c>
      <c r="H1" s="33" t="s">
        <v>336</v>
      </c>
      <c r="I1" s="32" t="s">
        <v>11</v>
      </c>
      <c r="J1" s="32" t="s">
        <v>337</v>
      </c>
      <c r="K1" s="32" t="s">
        <v>338</v>
      </c>
      <c r="L1" s="32" t="s">
        <v>339</v>
      </c>
      <c r="M1" s="32" t="s">
        <v>340</v>
      </c>
    </row>
    <row r="2" ht="22.5" customHeight="1">
      <c r="B2" s="23" t="s">
        <v>357</v>
      </c>
      <c r="C2" s="23" t="s">
        <v>352</v>
      </c>
      <c r="D2" s="23" t="s">
        <v>26</v>
      </c>
      <c r="E2" s="23" t="s">
        <v>27</v>
      </c>
      <c r="F2" s="23" t="s">
        <v>25</v>
      </c>
      <c r="G2" s="41">
        <v>45689.0</v>
      </c>
      <c r="H2" s="23" t="s">
        <v>354</v>
      </c>
      <c r="I2" s="23" t="s">
        <v>358</v>
      </c>
      <c r="J2" s="23"/>
      <c r="K2" s="23"/>
      <c r="L2" s="23"/>
      <c r="M2" s="23"/>
    </row>
    <row r="3" ht="22.5" customHeight="1">
      <c r="B3" s="23" t="s">
        <v>357</v>
      </c>
      <c r="C3" s="23" t="s">
        <v>352</v>
      </c>
      <c r="D3" s="23" t="s">
        <v>26</v>
      </c>
      <c r="E3" s="23" t="s">
        <v>27</v>
      </c>
      <c r="F3" s="23" t="s">
        <v>33</v>
      </c>
      <c r="G3" s="41">
        <v>45748.0</v>
      </c>
      <c r="H3" s="23" t="s">
        <v>354</v>
      </c>
      <c r="I3" s="23" t="s">
        <v>359</v>
      </c>
      <c r="J3" s="23"/>
      <c r="K3" s="23"/>
      <c r="L3" s="23"/>
      <c r="M3" s="23"/>
    </row>
    <row r="4" ht="22.5" customHeight="1">
      <c r="B4" s="23" t="s">
        <v>360</v>
      </c>
      <c r="C4" s="23" t="s">
        <v>361</v>
      </c>
      <c r="D4" s="23" t="s">
        <v>18</v>
      </c>
      <c r="E4" s="23" t="s">
        <v>27</v>
      </c>
      <c r="F4" s="23" t="s">
        <v>39</v>
      </c>
      <c r="G4" s="41">
        <v>45717.0</v>
      </c>
      <c r="H4" s="23" t="s">
        <v>354</v>
      </c>
      <c r="I4" s="23"/>
      <c r="J4" s="23"/>
      <c r="K4" s="23"/>
      <c r="L4" s="23"/>
      <c r="M4" s="23"/>
    </row>
    <row r="5" ht="22.5" customHeight="1">
      <c r="B5" s="23" t="s">
        <v>360</v>
      </c>
      <c r="C5" s="23" t="s">
        <v>361</v>
      </c>
      <c r="D5" s="23" t="s">
        <v>18</v>
      </c>
      <c r="E5" s="23" t="s">
        <v>27</v>
      </c>
      <c r="F5" s="23" t="s">
        <v>45</v>
      </c>
      <c r="G5" s="42" t="s">
        <v>362</v>
      </c>
      <c r="H5" s="23" t="s">
        <v>354</v>
      </c>
      <c r="I5" s="23"/>
      <c r="J5" s="23"/>
      <c r="K5" s="23"/>
      <c r="L5" s="23"/>
      <c r="M5" s="23"/>
    </row>
    <row r="6" ht="22.5" customHeight="1">
      <c r="B6" s="23" t="s">
        <v>360</v>
      </c>
      <c r="C6" s="23" t="s">
        <v>361</v>
      </c>
      <c r="D6" s="23" t="s">
        <v>18</v>
      </c>
      <c r="E6" s="23" t="s">
        <v>27</v>
      </c>
      <c r="F6" s="23" t="s">
        <v>51</v>
      </c>
      <c r="G6" s="42" t="s">
        <v>363</v>
      </c>
      <c r="H6" s="23" t="s">
        <v>354</v>
      </c>
      <c r="I6" s="23"/>
      <c r="J6" s="23"/>
      <c r="K6" s="23"/>
      <c r="L6" s="23"/>
      <c r="M6" s="23"/>
    </row>
    <row r="7" ht="22.5" customHeight="1">
      <c r="B7" s="23" t="s">
        <v>364</v>
      </c>
      <c r="C7" s="23" t="s">
        <v>365</v>
      </c>
      <c r="D7" s="23" t="s">
        <v>18</v>
      </c>
      <c r="E7" s="23" t="s">
        <v>27</v>
      </c>
      <c r="F7" s="23" t="s">
        <v>57</v>
      </c>
      <c r="G7" s="41">
        <v>45689.0</v>
      </c>
      <c r="H7" s="23" t="s">
        <v>354</v>
      </c>
      <c r="I7" s="23"/>
      <c r="J7" s="23"/>
      <c r="K7" s="23"/>
      <c r="L7" s="23"/>
      <c r="M7" s="23"/>
    </row>
    <row r="8" ht="22.5" customHeight="1">
      <c r="B8" s="23" t="s">
        <v>366</v>
      </c>
      <c r="C8" s="23" t="s">
        <v>284</v>
      </c>
      <c r="D8" s="23" t="s">
        <v>18</v>
      </c>
      <c r="E8" s="23" t="s">
        <v>367</v>
      </c>
      <c r="F8" s="23" t="s">
        <v>368</v>
      </c>
      <c r="G8" s="41">
        <v>45779.0</v>
      </c>
      <c r="H8" s="23" t="s">
        <v>354</v>
      </c>
      <c r="I8" s="23"/>
      <c r="J8" s="23"/>
      <c r="K8" s="23"/>
      <c r="L8" s="23"/>
      <c r="M8" s="23"/>
    </row>
    <row r="9" ht="22.5" customHeight="1">
      <c r="B9" s="23" t="s">
        <v>366</v>
      </c>
      <c r="C9" s="23" t="s">
        <v>284</v>
      </c>
      <c r="D9" s="23" t="s">
        <v>26</v>
      </c>
      <c r="E9" s="23" t="s">
        <v>367</v>
      </c>
      <c r="F9" s="23" t="s">
        <v>369</v>
      </c>
      <c r="G9" s="42">
        <v>1.0</v>
      </c>
      <c r="H9" s="23" t="s">
        <v>354</v>
      </c>
      <c r="I9" s="23"/>
      <c r="J9" s="23"/>
      <c r="K9" s="23"/>
      <c r="L9" s="23"/>
      <c r="M9" s="23"/>
    </row>
    <row r="10" ht="22.5" customHeight="1">
      <c r="B10" s="23" t="s">
        <v>366</v>
      </c>
      <c r="C10" s="23" t="s">
        <v>284</v>
      </c>
      <c r="D10" s="23" t="s">
        <v>26</v>
      </c>
      <c r="E10" s="23" t="s">
        <v>367</v>
      </c>
      <c r="F10" s="23" t="s">
        <v>370</v>
      </c>
      <c r="G10" s="41">
        <v>45778.0</v>
      </c>
      <c r="H10" s="23" t="s">
        <v>354</v>
      </c>
      <c r="I10" s="23"/>
      <c r="J10" s="23"/>
      <c r="K10" s="23"/>
      <c r="L10" s="23"/>
      <c r="M10" s="23"/>
    </row>
    <row r="11" ht="22.5" customHeight="1">
      <c r="B11" s="23" t="s">
        <v>366</v>
      </c>
      <c r="C11" s="23" t="s">
        <v>284</v>
      </c>
      <c r="D11" s="23" t="s">
        <v>26</v>
      </c>
      <c r="E11" s="23" t="s">
        <v>367</v>
      </c>
      <c r="F11" s="23" t="s">
        <v>371</v>
      </c>
      <c r="G11" s="41">
        <v>45779.0</v>
      </c>
      <c r="H11" s="23" t="s">
        <v>354</v>
      </c>
      <c r="I11" s="23"/>
      <c r="J11" s="23"/>
      <c r="K11" s="23"/>
      <c r="L11" s="23"/>
      <c r="M11" s="23"/>
    </row>
    <row r="12" ht="22.5" customHeight="1">
      <c r="B12" s="23" t="s">
        <v>142</v>
      </c>
      <c r="C12" s="23" t="s">
        <v>284</v>
      </c>
      <c r="D12" s="23" t="s">
        <v>18</v>
      </c>
      <c r="E12" s="23" t="s">
        <v>142</v>
      </c>
      <c r="F12" s="23" t="s">
        <v>372</v>
      </c>
      <c r="G12" s="41">
        <v>45778.0</v>
      </c>
      <c r="H12" s="23" t="s">
        <v>354</v>
      </c>
      <c r="I12" s="23"/>
      <c r="J12" s="23"/>
      <c r="K12" s="23"/>
      <c r="L12" s="23"/>
      <c r="M12" s="23"/>
    </row>
    <row r="13" ht="22.5" customHeight="1">
      <c r="B13" s="23"/>
      <c r="C13" s="23"/>
      <c r="D13" s="23"/>
      <c r="E13" s="23"/>
      <c r="F13" s="23"/>
      <c r="G13" s="42"/>
      <c r="H13" s="23"/>
      <c r="I13" s="23"/>
      <c r="J13" s="23"/>
      <c r="K13" s="23"/>
      <c r="L13" s="23"/>
      <c r="M13" s="23"/>
    </row>
    <row r="14" ht="22.5" customHeight="1">
      <c r="B14" s="23"/>
      <c r="C14" s="23"/>
      <c r="D14" s="23"/>
      <c r="E14" s="23"/>
      <c r="F14" s="23"/>
      <c r="G14" s="42"/>
      <c r="H14" s="23"/>
      <c r="I14" s="23"/>
      <c r="J14" s="23"/>
      <c r="K14" s="23"/>
      <c r="L14" s="23"/>
      <c r="M14" s="23"/>
    </row>
    <row r="15" ht="22.5" customHeight="1">
      <c r="B15" s="23"/>
      <c r="C15" s="23"/>
      <c r="D15" s="23"/>
      <c r="E15" s="23"/>
      <c r="F15" s="23"/>
      <c r="G15" s="42"/>
      <c r="H15" s="23"/>
      <c r="I15" s="23"/>
      <c r="J15" s="23"/>
      <c r="K15" s="23"/>
      <c r="L15" s="23"/>
      <c r="M15" s="23"/>
    </row>
    <row r="16" ht="22.5" customHeight="1">
      <c r="B16" s="23"/>
      <c r="C16" s="23"/>
      <c r="D16" s="23"/>
      <c r="E16" s="23"/>
      <c r="F16" s="23"/>
      <c r="G16" s="42"/>
      <c r="H16" s="23"/>
      <c r="I16" s="23"/>
      <c r="J16" s="23"/>
      <c r="K16" s="23"/>
      <c r="L16" s="23"/>
      <c r="M16" s="23"/>
    </row>
    <row r="17" ht="22.5" customHeight="1">
      <c r="B17" s="23"/>
      <c r="C17" s="23"/>
      <c r="D17" s="23"/>
      <c r="E17" s="23"/>
      <c r="F17" s="23"/>
      <c r="G17" s="42"/>
      <c r="H17" s="23"/>
      <c r="I17" s="23"/>
      <c r="J17" s="23"/>
      <c r="K17" s="23"/>
      <c r="L17" s="23"/>
      <c r="M17" s="23"/>
    </row>
    <row r="18" ht="22.5" customHeight="1">
      <c r="B18" s="23"/>
      <c r="C18" s="23"/>
      <c r="D18" s="23"/>
      <c r="E18" s="23"/>
      <c r="F18" s="23"/>
      <c r="G18" s="42"/>
      <c r="H18" s="23"/>
      <c r="I18" s="23"/>
      <c r="J18" s="23"/>
      <c r="K18" s="23"/>
      <c r="L18" s="23"/>
      <c r="M18" s="23"/>
    </row>
    <row r="19" ht="22.5" customHeight="1">
      <c r="B19" s="23"/>
      <c r="C19" s="23"/>
      <c r="D19" s="23"/>
      <c r="E19" s="23"/>
      <c r="F19" s="23"/>
      <c r="G19" s="42"/>
      <c r="H19" s="23"/>
      <c r="I19" s="23"/>
      <c r="J19" s="23"/>
      <c r="K19" s="23"/>
      <c r="L19" s="23"/>
      <c r="M19" s="23"/>
    </row>
    <row r="20" ht="22.5" customHeight="1">
      <c r="B20" s="23"/>
      <c r="C20" s="23"/>
      <c r="D20" s="23"/>
      <c r="E20" s="23"/>
      <c r="F20" s="23"/>
      <c r="G20" s="42"/>
      <c r="H20" s="23"/>
      <c r="I20" s="23"/>
      <c r="J20" s="23"/>
      <c r="K20" s="23"/>
      <c r="L20" s="23"/>
      <c r="M20" s="23"/>
    </row>
    <row r="21" ht="22.5" customHeight="1">
      <c r="B21" s="23"/>
      <c r="C21" s="23"/>
      <c r="D21" s="23"/>
      <c r="E21" s="23"/>
      <c r="F21" s="23"/>
      <c r="G21" s="42"/>
      <c r="H21" s="23"/>
      <c r="I21" s="23"/>
      <c r="J21" s="23"/>
      <c r="K21" s="23"/>
      <c r="L21" s="23"/>
      <c r="M21" s="23"/>
    </row>
    <row r="22" ht="22.5" customHeight="1">
      <c r="B22" s="23"/>
      <c r="C22" s="23"/>
      <c r="D22" s="23"/>
      <c r="E22" s="23"/>
      <c r="F22" s="23"/>
      <c r="G22" s="42"/>
      <c r="H22" s="23"/>
      <c r="I22" s="23"/>
      <c r="J22" s="23"/>
      <c r="K22" s="23"/>
      <c r="L22" s="23"/>
      <c r="M22" s="23"/>
    </row>
    <row r="23" ht="22.5" customHeight="1">
      <c r="B23" s="23"/>
      <c r="C23" s="23"/>
      <c r="D23" s="23"/>
      <c r="E23" s="23"/>
      <c r="F23" s="23"/>
      <c r="G23" s="42"/>
      <c r="H23" s="23"/>
      <c r="I23" s="23"/>
      <c r="J23" s="23"/>
      <c r="K23" s="23"/>
      <c r="L23" s="23"/>
      <c r="M23" s="23"/>
    </row>
    <row r="24" ht="22.5" customHeight="1">
      <c r="B24" s="23"/>
      <c r="C24" s="23"/>
      <c r="D24" s="23"/>
      <c r="E24" s="23"/>
      <c r="F24" s="23"/>
      <c r="G24" s="42"/>
      <c r="H24" s="23"/>
      <c r="I24" s="23"/>
      <c r="J24" s="23"/>
      <c r="K24" s="23"/>
      <c r="L24" s="23"/>
      <c r="M24" s="23"/>
    </row>
    <row r="25" ht="22.5" customHeight="1">
      <c r="B25" s="23"/>
      <c r="C25" s="23"/>
      <c r="D25" s="23"/>
      <c r="E25" s="23"/>
      <c r="F25" s="23"/>
      <c r="G25" s="42"/>
      <c r="H25" s="23"/>
      <c r="I25" s="23"/>
      <c r="J25" s="23"/>
      <c r="K25" s="23"/>
      <c r="L25" s="23"/>
      <c r="M25" s="23"/>
    </row>
    <row r="26" ht="22.5" customHeight="1">
      <c r="B26" s="23"/>
      <c r="C26" s="23"/>
      <c r="D26" s="23"/>
      <c r="E26" s="23"/>
      <c r="F26" s="23"/>
      <c r="G26" s="42"/>
      <c r="H26" s="23"/>
      <c r="I26" s="23"/>
      <c r="J26" s="23"/>
      <c r="K26" s="23"/>
      <c r="L26" s="23"/>
      <c r="M26" s="23"/>
    </row>
    <row r="27" ht="22.5" customHeight="1">
      <c r="B27" s="23"/>
      <c r="C27" s="23"/>
      <c r="D27" s="23"/>
      <c r="E27" s="23"/>
      <c r="F27" s="23"/>
      <c r="G27" s="42"/>
      <c r="H27" s="23"/>
      <c r="I27" s="23"/>
      <c r="J27" s="23"/>
      <c r="K27" s="23"/>
      <c r="L27" s="23"/>
      <c r="M27" s="23"/>
    </row>
    <row r="28" ht="22.5" customHeight="1">
      <c r="B28" s="23"/>
      <c r="C28" s="23"/>
      <c r="D28" s="23"/>
      <c r="E28" s="23"/>
      <c r="F28" s="23"/>
      <c r="G28" s="42"/>
      <c r="H28" s="23"/>
      <c r="I28" s="23"/>
      <c r="J28" s="23"/>
      <c r="K28" s="23"/>
      <c r="L28" s="23"/>
      <c r="M28" s="23"/>
    </row>
    <row r="29" ht="22.5" customHeight="1">
      <c r="B29" s="23"/>
      <c r="C29" s="23"/>
      <c r="D29" s="23"/>
      <c r="E29" s="23"/>
      <c r="F29" s="23"/>
      <c r="G29" s="42"/>
      <c r="H29" s="23"/>
      <c r="I29" s="23"/>
      <c r="J29" s="23"/>
      <c r="K29" s="23"/>
      <c r="L29" s="23"/>
      <c r="M29" s="23"/>
    </row>
    <row r="30" ht="22.5" customHeight="1">
      <c r="B30" s="23"/>
      <c r="C30" s="23"/>
      <c r="D30" s="23"/>
      <c r="E30" s="23"/>
      <c r="F30" s="23"/>
      <c r="G30" s="42"/>
      <c r="H30" s="23"/>
      <c r="I30" s="23"/>
      <c r="J30" s="23"/>
      <c r="K30" s="23"/>
      <c r="L30" s="23"/>
      <c r="M30" s="23"/>
    </row>
    <row r="31" ht="22.5" customHeight="1">
      <c r="B31" s="23"/>
      <c r="C31" s="23"/>
      <c r="D31" s="23"/>
      <c r="E31" s="23"/>
      <c r="F31" s="23"/>
      <c r="G31" s="42"/>
      <c r="H31" s="23"/>
      <c r="I31" s="23"/>
      <c r="J31" s="23"/>
      <c r="K31" s="23"/>
      <c r="L31" s="23"/>
      <c r="M31" s="23"/>
    </row>
    <row r="32" ht="22.5" customHeight="1">
      <c r="B32" s="23"/>
      <c r="C32" s="23"/>
      <c r="D32" s="23"/>
      <c r="E32" s="23"/>
      <c r="F32" s="23"/>
      <c r="G32" s="42"/>
      <c r="H32" s="23"/>
      <c r="I32" s="23"/>
      <c r="J32" s="23"/>
      <c r="K32" s="23"/>
      <c r="L32" s="23"/>
      <c r="M32" s="23"/>
    </row>
    <row r="33" ht="22.5" customHeight="1">
      <c r="B33" s="23"/>
      <c r="C33" s="23"/>
      <c r="D33" s="23"/>
      <c r="E33" s="23"/>
      <c r="F33" s="23"/>
      <c r="G33" s="42"/>
      <c r="H33" s="23"/>
      <c r="I33" s="23"/>
      <c r="J33" s="23"/>
      <c r="K33" s="23"/>
      <c r="L33" s="23"/>
      <c r="M33" s="23"/>
    </row>
    <row r="34" ht="22.5" customHeight="1">
      <c r="B34" s="23"/>
      <c r="C34" s="23"/>
      <c r="D34" s="23"/>
      <c r="E34" s="23"/>
      <c r="F34" s="23"/>
      <c r="G34" s="42"/>
      <c r="H34" s="23"/>
      <c r="I34" s="23"/>
      <c r="J34" s="23"/>
      <c r="K34" s="23"/>
      <c r="L34" s="23"/>
      <c r="M34" s="23"/>
    </row>
    <row r="35" ht="22.5" customHeight="1">
      <c r="B35" s="23"/>
      <c r="C35" s="23"/>
      <c r="D35" s="23"/>
      <c r="E35" s="23"/>
      <c r="F35" s="23"/>
      <c r="G35" s="42"/>
      <c r="H35" s="23"/>
      <c r="I35" s="23"/>
      <c r="J35" s="23"/>
      <c r="K35" s="23"/>
      <c r="L35" s="23"/>
      <c r="M35" s="23"/>
    </row>
    <row r="36" ht="22.5" customHeight="1">
      <c r="B36" s="23"/>
      <c r="C36" s="23"/>
      <c r="D36" s="23"/>
      <c r="E36" s="23"/>
      <c r="F36" s="23"/>
      <c r="G36" s="42"/>
      <c r="H36" s="23"/>
      <c r="I36" s="23"/>
      <c r="J36" s="23"/>
      <c r="K36" s="23"/>
      <c r="L36" s="23"/>
      <c r="M36" s="23"/>
    </row>
    <row r="37" ht="22.5" customHeight="1">
      <c r="B37" s="23"/>
      <c r="C37" s="23"/>
      <c r="D37" s="23"/>
      <c r="E37" s="23"/>
      <c r="F37" s="23"/>
      <c r="G37" s="42"/>
      <c r="H37" s="23"/>
      <c r="I37" s="23"/>
      <c r="J37" s="23"/>
      <c r="K37" s="23"/>
      <c r="L37" s="23"/>
      <c r="M37" s="23"/>
    </row>
    <row r="38" ht="22.5" customHeight="1">
      <c r="B38" s="23"/>
      <c r="C38" s="23"/>
      <c r="D38" s="23"/>
      <c r="E38" s="23"/>
      <c r="F38" s="23"/>
      <c r="G38" s="42"/>
      <c r="H38" s="23"/>
      <c r="I38" s="23"/>
      <c r="J38" s="23"/>
      <c r="K38" s="23"/>
      <c r="L38" s="23"/>
      <c r="M38" s="23"/>
    </row>
    <row r="39" ht="22.5" customHeight="1">
      <c r="B39" s="23"/>
      <c r="C39" s="23"/>
      <c r="D39" s="23"/>
      <c r="E39" s="23"/>
      <c r="F39" s="23"/>
      <c r="G39" s="42"/>
      <c r="H39" s="23"/>
      <c r="I39" s="23"/>
      <c r="J39" s="23"/>
      <c r="K39" s="23"/>
      <c r="L39" s="23"/>
      <c r="M39" s="23"/>
    </row>
    <row r="40" ht="22.5" customHeight="1">
      <c r="B40" s="23"/>
      <c r="C40" s="23"/>
      <c r="D40" s="23"/>
      <c r="E40" s="23"/>
      <c r="F40" s="23"/>
      <c r="G40" s="42"/>
      <c r="H40" s="23"/>
      <c r="I40" s="23"/>
      <c r="J40" s="23"/>
      <c r="K40" s="23"/>
      <c r="L40" s="23"/>
      <c r="M40" s="23"/>
    </row>
    <row r="41" ht="22.5" customHeight="1">
      <c r="B41" s="23"/>
      <c r="C41" s="23"/>
      <c r="D41" s="23"/>
      <c r="E41" s="23"/>
      <c r="F41" s="23"/>
      <c r="G41" s="42"/>
      <c r="H41" s="23"/>
      <c r="I41" s="23"/>
      <c r="J41" s="23"/>
      <c r="K41" s="23"/>
      <c r="L41" s="23"/>
      <c r="M41" s="23"/>
    </row>
    <row r="42" ht="22.5" customHeight="1">
      <c r="B42" s="23"/>
      <c r="C42" s="23"/>
      <c r="D42" s="23"/>
      <c r="E42" s="23"/>
      <c r="F42" s="23"/>
      <c r="G42" s="42"/>
      <c r="H42" s="23"/>
      <c r="I42" s="23"/>
      <c r="J42" s="23"/>
      <c r="K42" s="23"/>
      <c r="L42" s="23"/>
      <c r="M42" s="23"/>
    </row>
    <row r="43" ht="22.5" customHeight="1">
      <c r="B43" s="23"/>
      <c r="C43" s="23"/>
      <c r="D43" s="23"/>
      <c r="E43" s="23"/>
      <c r="F43" s="23"/>
      <c r="G43" s="42"/>
      <c r="H43" s="23"/>
      <c r="I43" s="23"/>
      <c r="J43" s="23"/>
      <c r="K43" s="23"/>
      <c r="L43" s="23"/>
      <c r="M43" s="23"/>
    </row>
    <row r="44" ht="22.5" customHeight="1">
      <c r="B44" s="23"/>
      <c r="C44" s="23"/>
      <c r="D44" s="23"/>
      <c r="E44" s="23"/>
      <c r="F44" s="23"/>
      <c r="G44" s="42"/>
      <c r="H44" s="23"/>
      <c r="I44" s="23"/>
      <c r="J44" s="23"/>
      <c r="K44" s="23"/>
      <c r="L44" s="23"/>
      <c r="M44" s="23"/>
    </row>
    <row r="45" ht="22.5" customHeight="1">
      <c r="B45" s="23"/>
      <c r="C45" s="23"/>
      <c r="D45" s="23"/>
      <c r="E45" s="23"/>
      <c r="F45" s="23"/>
      <c r="G45" s="42"/>
      <c r="H45" s="23"/>
      <c r="I45" s="23"/>
      <c r="J45" s="23"/>
      <c r="K45" s="23"/>
      <c r="L45" s="23"/>
      <c r="M45" s="23"/>
    </row>
    <row r="46" ht="22.5" customHeight="1">
      <c r="B46" s="23"/>
      <c r="C46" s="23"/>
      <c r="D46" s="23"/>
      <c r="E46" s="23"/>
      <c r="F46" s="23"/>
      <c r="G46" s="42"/>
      <c r="H46" s="23"/>
      <c r="I46" s="23"/>
      <c r="J46" s="23"/>
      <c r="K46" s="23"/>
      <c r="L46" s="23"/>
      <c r="M46" s="23"/>
    </row>
    <row r="47" ht="22.5" customHeight="1">
      <c r="B47" s="23"/>
      <c r="C47" s="23"/>
      <c r="D47" s="23"/>
      <c r="E47" s="23"/>
      <c r="F47" s="23"/>
      <c r="G47" s="42"/>
      <c r="H47" s="23"/>
      <c r="I47" s="23"/>
      <c r="J47" s="23"/>
      <c r="K47" s="23"/>
      <c r="L47" s="23"/>
      <c r="M47" s="23"/>
    </row>
    <row r="48">
      <c r="F48" s="1"/>
    </row>
    <row r="49">
      <c r="F49" s="1"/>
    </row>
    <row r="50">
      <c r="F50" s="1"/>
    </row>
    <row r="51">
      <c r="F51" s="1"/>
    </row>
    <row r="52">
      <c r="F52" s="1"/>
    </row>
    <row r="53">
      <c r="F53" s="1"/>
    </row>
    <row r="54">
      <c r="F54" s="1"/>
    </row>
    <row r="55">
      <c r="F55" s="1"/>
    </row>
    <row r="56">
      <c r="F56" s="1"/>
    </row>
    <row r="57">
      <c r="F57" s="1"/>
    </row>
    <row r="58">
      <c r="F58" s="1"/>
    </row>
    <row r="59">
      <c r="F59" s="1"/>
    </row>
    <row r="60">
      <c r="F60" s="1"/>
    </row>
    <row r="61">
      <c r="F61" s="1"/>
    </row>
    <row r="62">
      <c r="F62" s="1"/>
    </row>
    <row r="63">
      <c r="F63" s="1"/>
    </row>
    <row r="64">
      <c r="F64" s="1"/>
    </row>
    <row r="65">
      <c r="F65" s="1"/>
    </row>
    <row r="66">
      <c r="F66" s="1"/>
    </row>
    <row r="67">
      <c r="F67" s="1"/>
    </row>
    <row r="68">
      <c r="F68" s="1"/>
    </row>
    <row r="69">
      <c r="F69" s="1"/>
    </row>
    <row r="70">
      <c r="F70" s="1"/>
    </row>
    <row r="71">
      <c r="F71" s="1"/>
    </row>
    <row r="72">
      <c r="F72" s="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row>
    <row r="90">
      <c r="F90" s="1"/>
    </row>
    <row r="91">
      <c r="F91" s="1"/>
    </row>
    <row r="92">
      <c r="F92" s="1"/>
    </row>
    <row r="93">
      <c r="F93" s="1"/>
    </row>
    <row r="94">
      <c r="F94" s="1"/>
    </row>
    <row r="95">
      <c r="F95" s="1"/>
    </row>
    <row r="96">
      <c r="F96" s="1"/>
    </row>
    <row r="97">
      <c r="F97" s="1"/>
    </row>
    <row r="98">
      <c r="F98" s="1"/>
    </row>
    <row r="99">
      <c r="F99" s="1"/>
    </row>
    <row r="100">
      <c r="F100" s="1"/>
    </row>
    <row r="101">
      <c r="F101" s="1"/>
    </row>
    <row r="102">
      <c r="F102" s="1"/>
    </row>
    <row r="103">
      <c r="F103" s="1"/>
    </row>
    <row r="104">
      <c r="F104" s="1"/>
    </row>
    <row r="105">
      <c r="F105" s="1"/>
    </row>
    <row r="106">
      <c r="F106" s="1"/>
    </row>
    <row r="107">
      <c r="F107" s="1"/>
    </row>
    <row r="108">
      <c r="F108" s="1"/>
    </row>
    <row r="109">
      <c r="F109" s="1"/>
    </row>
    <row r="110">
      <c r="F110" s="1"/>
    </row>
    <row r="111">
      <c r="F111" s="1"/>
    </row>
    <row r="112">
      <c r="F112" s="1"/>
    </row>
    <row r="113">
      <c r="F113" s="1"/>
    </row>
    <row r="114">
      <c r="F114" s="1"/>
    </row>
    <row r="115">
      <c r="F115" s="1"/>
    </row>
    <row r="116">
      <c r="F116" s="1"/>
    </row>
    <row r="117">
      <c r="F117" s="1"/>
    </row>
    <row r="118">
      <c r="F118" s="1"/>
    </row>
    <row r="119">
      <c r="F119" s="1"/>
    </row>
    <row r="120">
      <c r="F120" s="1"/>
    </row>
    <row r="121">
      <c r="F121" s="1"/>
    </row>
    <row r="122">
      <c r="F122" s="1"/>
    </row>
    <row r="123">
      <c r="F123" s="1"/>
    </row>
    <row r="124">
      <c r="F124" s="1"/>
    </row>
    <row r="125">
      <c r="F125" s="1"/>
    </row>
    <row r="126">
      <c r="F126" s="1"/>
    </row>
    <row r="127">
      <c r="F127" s="1"/>
    </row>
    <row r="128">
      <c r="F128" s="1"/>
    </row>
    <row r="129">
      <c r="F129" s="1"/>
    </row>
    <row r="130">
      <c r="F130" s="1"/>
    </row>
    <row r="131">
      <c r="F131" s="1"/>
    </row>
    <row r="132">
      <c r="F132" s="1"/>
    </row>
    <row r="133">
      <c r="F133" s="1"/>
    </row>
    <row r="134">
      <c r="F134" s="1"/>
    </row>
    <row r="135">
      <c r="F135" s="1"/>
    </row>
    <row r="136">
      <c r="F136" s="1"/>
    </row>
    <row r="137">
      <c r="F137" s="1"/>
    </row>
    <row r="138">
      <c r="F138" s="1"/>
    </row>
    <row r="139">
      <c r="F139" s="1"/>
    </row>
    <row r="140">
      <c r="F140" s="1"/>
    </row>
    <row r="141">
      <c r="F141" s="1"/>
    </row>
    <row r="142">
      <c r="F142" s="1"/>
    </row>
    <row r="143">
      <c r="F143" s="1"/>
    </row>
    <row r="144">
      <c r="F144" s="1"/>
    </row>
    <row r="145">
      <c r="F145" s="1"/>
    </row>
    <row r="146">
      <c r="F146" s="1"/>
    </row>
    <row r="147">
      <c r="F147" s="1"/>
    </row>
    <row r="148">
      <c r="F148" s="1"/>
    </row>
    <row r="149">
      <c r="F149" s="1"/>
    </row>
    <row r="150">
      <c r="F150" s="1"/>
    </row>
    <row r="151">
      <c r="F151" s="1"/>
    </row>
    <row r="152">
      <c r="F152" s="1"/>
    </row>
    <row r="153">
      <c r="F153" s="1"/>
    </row>
    <row r="154">
      <c r="F154" s="1"/>
    </row>
    <row r="155">
      <c r="F155" s="1"/>
    </row>
    <row r="156">
      <c r="F156" s="1"/>
    </row>
    <row r="157">
      <c r="F157" s="1"/>
    </row>
    <row r="158">
      <c r="F158" s="1"/>
    </row>
    <row r="159">
      <c r="F159" s="1"/>
    </row>
    <row r="160">
      <c r="F160" s="1"/>
    </row>
    <row r="161">
      <c r="F161" s="1"/>
    </row>
    <row r="162">
      <c r="F162" s="1"/>
    </row>
    <row r="163">
      <c r="F163" s="1"/>
    </row>
    <row r="164">
      <c r="F164" s="1"/>
    </row>
    <row r="165">
      <c r="F165" s="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row r="235">
      <c r="F235" s="1"/>
    </row>
    <row r="236">
      <c r="F236" s="1"/>
    </row>
    <row r="237">
      <c r="F237" s="1"/>
    </row>
    <row r="238">
      <c r="F238" s="1"/>
    </row>
    <row r="239">
      <c r="F239" s="1"/>
    </row>
    <row r="240">
      <c r="F240" s="1"/>
    </row>
    <row r="241">
      <c r="F241" s="1"/>
    </row>
    <row r="242">
      <c r="F242" s="1"/>
    </row>
    <row r="243">
      <c r="F243" s="1"/>
    </row>
    <row r="244">
      <c r="F244" s="1"/>
    </row>
    <row r="245">
      <c r="F245" s="1"/>
    </row>
    <row r="246">
      <c r="F246" s="1"/>
    </row>
    <row r="247">
      <c r="F247" s="1"/>
    </row>
    <row r="248">
      <c r="F248" s="1"/>
    </row>
    <row r="249">
      <c r="F249" s="1"/>
    </row>
    <row r="250">
      <c r="F250" s="1"/>
    </row>
    <row r="251">
      <c r="F251" s="1"/>
    </row>
    <row r="252">
      <c r="F252" s="1"/>
    </row>
    <row r="253">
      <c r="F253" s="1"/>
    </row>
    <row r="254">
      <c r="F254" s="1"/>
    </row>
    <row r="255">
      <c r="F255" s="1"/>
    </row>
    <row r="256">
      <c r="F256" s="1"/>
    </row>
    <row r="257">
      <c r="F257" s="1"/>
    </row>
    <row r="258">
      <c r="F258" s="1"/>
    </row>
    <row r="259">
      <c r="F259" s="1"/>
    </row>
    <row r="260">
      <c r="F260" s="1"/>
    </row>
    <row r="261">
      <c r="F261" s="1"/>
    </row>
    <row r="262">
      <c r="F262" s="1"/>
    </row>
    <row r="263">
      <c r="F263" s="1"/>
    </row>
    <row r="264">
      <c r="F264" s="1"/>
    </row>
    <row r="265">
      <c r="F265" s="1"/>
    </row>
    <row r="266">
      <c r="F266" s="1"/>
    </row>
    <row r="267">
      <c r="F267" s="1"/>
    </row>
    <row r="268">
      <c r="F268" s="1"/>
    </row>
    <row r="269">
      <c r="F269" s="1"/>
    </row>
    <row r="270">
      <c r="F270" s="1"/>
    </row>
    <row r="271">
      <c r="F271" s="1"/>
    </row>
    <row r="272">
      <c r="F272" s="1"/>
    </row>
    <row r="273">
      <c r="F273" s="1"/>
    </row>
    <row r="274">
      <c r="F274" s="1"/>
    </row>
    <row r="275">
      <c r="F275" s="1"/>
    </row>
    <row r="276">
      <c r="F276" s="1"/>
    </row>
    <row r="277">
      <c r="F277" s="1"/>
    </row>
    <row r="278">
      <c r="F278" s="1"/>
    </row>
    <row r="279">
      <c r="F279" s="1"/>
    </row>
    <row r="280">
      <c r="F280" s="1"/>
    </row>
    <row r="281">
      <c r="F281" s="1"/>
    </row>
    <row r="282">
      <c r="F282" s="1"/>
    </row>
    <row r="283">
      <c r="F283" s="1"/>
    </row>
    <row r="284">
      <c r="F284" s="1"/>
    </row>
    <row r="285">
      <c r="F285" s="1"/>
    </row>
    <row r="286">
      <c r="F286" s="1"/>
    </row>
    <row r="287">
      <c r="F287" s="1"/>
    </row>
    <row r="288">
      <c r="F288" s="1"/>
    </row>
    <row r="289">
      <c r="F289" s="1"/>
    </row>
    <row r="290">
      <c r="F290" s="1"/>
    </row>
    <row r="291">
      <c r="F291" s="1"/>
    </row>
    <row r="292">
      <c r="F292" s="1"/>
    </row>
    <row r="293">
      <c r="F293" s="1"/>
    </row>
    <row r="294">
      <c r="F294" s="1"/>
    </row>
    <row r="295">
      <c r="F295" s="1"/>
    </row>
    <row r="296">
      <c r="F296" s="1"/>
    </row>
    <row r="297">
      <c r="F297" s="1"/>
    </row>
    <row r="298">
      <c r="F298" s="1"/>
    </row>
    <row r="299">
      <c r="F299" s="1"/>
    </row>
    <row r="300">
      <c r="F300" s="1"/>
    </row>
    <row r="301">
      <c r="F301" s="1"/>
    </row>
    <row r="302">
      <c r="F302" s="1"/>
    </row>
    <row r="303">
      <c r="F303" s="1"/>
    </row>
    <row r="304">
      <c r="F304" s="1"/>
    </row>
    <row r="305">
      <c r="F305" s="1"/>
    </row>
    <row r="306">
      <c r="F306" s="1"/>
    </row>
    <row r="307">
      <c r="F307" s="1"/>
    </row>
    <row r="308">
      <c r="F308" s="1"/>
    </row>
    <row r="309">
      <c r="F309" s="1"/>
    </row>
    <row r="310">
      <c r="F310" s="1"/>
    </row>
    <row r="311">
      <c r="F311" s="1"/>
    </row>
    <row r="312">
      <c r="F312" s="1"/>
    </row>
    <row r="313">
      <c r="F313" s="1"/>
    </row>
    <row r="314">
      <c r="F314" s="1"/>
    </row>
    <row r="315">
      <c r="F315" s="1"/>
    </row>
    <row r="316">
      <c r="F316" s="1"/>
    </row>
    <row r="317">
      <c r="F317" s="1"/>
    </row>
    <row r="318">
      <c r="F318" s="1"/>
    </row>
    <row r="319">
      <c r="F319" s="1"/>
    </row>
    <row r="320">
      <c r="F320" s="1"/>
    </row>
    <row r="321">
      <c r="F321" s="1"/>
    </row>
    <row r="322">
      <c r="F322" s="1"/>
    </row>
    <row r="323">
      <c r="F323" s="1"/>
    </row>
    <row r="324">
      <c r="F324" s="1"/>
    </row>
    <row r="325">
      <c r="F325" s="1"/>
    </row>
    <row r="326">
      <c r="F326" s="1"/>
    </row>
    <row r="327">
      <c r="F327" s="1"/>
    </row>
    <row r="328">
      <c r="F328" s="1"/>
    </row>
    <row r="329">
      <c r="F329" s="1"/>
    </row>
    <row r="330">
      <c r="F330" s="1"/>
    </row>
    <row r="331">
      <c r="F331" s="1"/>
    </row>
    <row r="332">
      <c r="F332" s="1"/>
    </row>
    <row r="333">
      <c r="F333" s="1"/>
    </row>
    <row r="334">
      <c r="F334" s="1"/>
    </row>
    <row r="335">
      <c r="F335" s="1"/>
    </row>
    <row r="336">
      <c r="F336" s="1"/>
    </row>
    <row r="337">
      <c r="F337" s="1"/>
    </row>
    <row r="338">
      <c r="F338" s="1"/>
    </row>
    <row r="339">
      <c r="F339" s="1"/>
    </row>
    <row r="340">
      <c r="F340" s="1"/>
    </row>
    <row r="341">
      <c r="F341" s="1"/>
    </row>
    <row r="342">
      <c r="F342" s="1"/>
    </row>
    <row r="343">
      <c r="F343" s="1"/>
    </row>
    <row r="344">
      <c r="F344" s="1"/>
    </row>
    <row r="345">
      <c r="F345" s="1"/>
    </row>
    <row r="346">
      <c r="F346" s="1"/>
    </row>
    <row r="347">
      <c r="F347" s="1"/>
    </row>
    <row r="348">
      <c r="F348" s="1"/>
    </row>
    <row r="349">
      <c r="F349" s="1"/>
    </row>
    <row r="350">
      <c r="F350" s="1"/>
    </row>
    <row r="351">
      <c r="F351" s="1"/>
    </row>
    <row r="352">
      <c r="F352" s="1"/>
    </row>
    <row r="353">
      <c r="F353" s="1"/>
    </row>
    <row r="354">
      <c r="F354" s="1"/>
    </row>
    <row r="355">
      <c r="F355" s="1"/>
    </row>
    <row r="356">
      <c r="F356" s="1"/>
    </row>
    <row r="357">
      <c r="F357" s="1"/>
    </row>
    <row r="358">
      <c r="F358" s="1"/>
    </row>
    <row r="359">
      <c r="F359" s="1"/>
    </row>
    <row r="360">
      <c r="F360" s="1"/>
    </row>
    <row r="361">
      <c r="F361" s="1"/>
    </row>
    <row r="362">
      <c r="F362" s="1"/>
    </row>
    <row r="363">
      <c r="F363" s="1"/>
    </row>
    <row r="364">
      <c r="F364" s="1"/>
    </row>
    <row r="365">
      <c r="F365" s="1"/>
    </row>
    <row r="366">
      <c r="F366" s="1"/>
    </row>
    <row r="367">
      <c r="F367" s="1"/>
    </row>
    <row r="368">
      <c r="F368" s="1"/>
    </row>
    <row r="369">
      <c r="F369" s="1"/>
    </row>
    <row r="370">
      <c r="F370" s="1"/>
    </row>
    <row r="371">
      <c r="F371" s="1"/>
    </row>
    <row r="372">
      <c r="F372" s="1"/>
    </row>
    <row r="373">
      <c r="F373" s="1"/>
    </row>
    <row r="374">
      <c r="F374" s="1"/>
    </row>
    <row r="375">
      <c r="F375" s="1"/>
    </row>
    <row r="376">
      <c r="F376" s="1"/>
    </row>
    <row r="377">
      <c r="F377" s="1"/>
    </row>
    <row r="378">
      <c r="F378" s="1"/>
    </row>
    <row r="379">
      <c r="F379" s="1"/>
    </row>
    <row r="380">
      <c r="F380" s="1"/>
    </row>
    <row r="381">
      <c r="F381" s="1"/>
    </row>
    <row r="382">
      <c r="F382" s="1"/>
    </row>
    <row r="383">
      <c r="F383" s="1"/>
    </row>
    <row r="384">
      <c r="F384" s="1"/>
    </row>
    <row r="385">
      <c r="F385" s="1"/>
    </row>
    <row r="386">
      <c r="F386" s="1"/>
    </row>
    <row r="387">
      <c r="F387" s="1"/>
    </row>
    <row r="388">
      <c r="F388" s="1"/>
    </row>
    <row r="389">
      <c r="F389" s="1"/>
    </row>
    <row r="390">
      <c r="F390" s="1"/>
    </row>
    <row r="391">
      <c r="F391" s="1"/>
    </row>
    <row r="392">
      <c r="F392" s="1"/>
    </row>
    <row r="393">
      <c r="F393" s="1"/>
    </row>
    <row r="394">
      <c r="F394" s="1"/>
    </row>
    <row r="395">
      <c r="F395" s="1"/>
    </row>
    <row r="396">
      <c r="F396" s="1"/>
    </row>
    <row r="397">
      <c r="F397" s="1"/>
    </row>
    <row r="398">
      <c r="F398" s="1"/>
    </row>
    <row r="399">
      <c r="F399" s="1"/>
    </row>
    <row r="400">
      <c r="F400" s="1"/>
    </row>
    <row r="401">
      <c r="F401" s="1"/>
    </row>
    <row r="402">
      <c r="F402" s="1"/>
    </row>
    <row r="403">
      <c r="F403" s="1"/>
    </row>
    <row r="404">
      <c r="F404" s="1"/>
    </row>
    <row r="405">
      <c r="F405" s="1"/>
    </row>
    <row r="406">
      <c r="F406" s="1"/>
    </row>
    <row r="407">
      <c r="F407" s="1"/>
    </row>
    <row r="408">
      <c r="F408" s="1"/>
    </row>
    <row r="409">
      <c r="F409" s="1"/>
    </row>
    <row r="410">
      <c r="F410" s="1"/>
    </row>
    <row r="411">
      <c r="F411" s="1"/>
    </row>
    <row r="412">
      <c r="F412" s="1"/>
    </row>
    <row r="413">
      <c r="F413" s="1"/>
    </row>
    <row r="414">
      <c r="F414" s="1"/>
    </row>
    <row r="415">
      <c r="F415" s="1"/>
    </row>
    <row r="416">
      <c r="F416" s="1"/>
    </row>
    <row r="417">
      <c r="F417" s="1"/>
    </row>
    <row r="418">
      <c r="F418" s="1"/>
    </row>
    <row r="419">
      <c r="F419" s="1"/>
    </row>
    <row r="420">
      <c r="F420" s="1"/>
    </row>
    <row r="421">
      <c r="F421" s="1"/>
    </row>
    <row r="422">
      <c r="F422" s="1"/>
    </row>
    <row r="423">
      <c r="F423" s="1"/>
    </row>
    <row r="424">
      <c r="F424" s="1"/>
    </row>
    <row r="425">
      <c r="F425" s="1"/>
    </row>
    <row r="426">
      <c r="F426" s="1"/>
    </row>
    <row r="427">
      <c r="F427" s="1"/>
    </row>
    <row r="428">
      <c r="F428" s="1"/>
    </row>
    <row r="429">
      <c r="F429" s="1"/>
    </row>
    <row r="430">
      <c r="F430" s="1"/>
    </row>
    <row r="431">
      <c r="F431" s="1"/>
    </row>
    <row r="432">
      <c r="F432" s="1"/>
    </row>
    <row r="433">
      <c r="F433" s="1"/>
    </row>
    <row r="434">
      <c r="F434" s="1"/>
    </row>
    <row r="435">
      <c r="F435" s="1"/>
    </row>
    <row r="436">
      <c r="F436" s="1"/>
    </row>
    <row r="437">
      <c r="F437" s="1"/>
    </row>
    <row r="438">
      <c r="F438" s="1"/>
    </row>
    <row r="439">
      <c r="F439" s="1"/>
    </row>
    <row r="440">
      <c r="F440" s="1"/>
    </row>
    <row r="441">
      <c r="F441" s="1"/>
    </row>
    <row r="442">
      <c r="F442" s="1"/>
    </row>
    <row r="443">
      <c r="F443" s="1"/>
    </row>
    <row r="444">
      <c r="F444" s="1"/>
    </row>
    <row r="445">
      <c r="F445" s="1"/>
    </row>
    <row r="446">
      <c r="F446" s="1"/>
    </row>
    <row r="447">
      <c r="F447" s="1"/>
    </row>
    <row r="448">
      <c r="F448" s="1"/>
    </row>
    <row r="449">
      <c r="F449" s="1"/>
    </row>
    <row r="450">
      <c r="F450" s="1"/>
    </row>
    <row r="451">
      <c r="F451" s="1"/>
    </row>
    <row r="452">
      <c r="F452" s="1"/>
    </row>
    <row r="453">
      <c r="F453" s="1"/>
    </row>
    <row r="454">
      <c r="F454" s="1"/>
    </row>
    <row r="455">
      <c r="F455" s="1"/>
    </row>
    <row r="456">
      <c r="F456" s="1"/>
    </row>
    <row r="457">
      <c r="F457" s="1"/>
    </row>
    <row r="458">
      <c r="F458" s="1"/>
    </row>
    <row r="459">
      <c r="F459" s="1"/>
    </row>
    <row r="460">
      <c r="F460" s="1"/>
    </row>
    <row r="461">
      <c r="F461" s="1"/>
    </row>
    <row r="462">
      <c r="F462" s="1"/>
    </row>
    <row r="463">
      <c r="F463" s="1"/>
    </row>
    <row r="464">
      <c r="F464" s="1"/>
    </row>
    <row r="465">
      <c r="F465" s="1"/>
    </row>
    <row r="466">
      <c r="F466" s="1"/>
    </row>
    <row r="467">
      <c r="F467" s="1"/>
    </row>
    <row r="468">
      <c r="F468" s="1"/>
    </row>
    <row r="469">
      <c r="F469" s="1"/>
    </row>
    <row r="470">
      <c r="F470" s="1"/>
    </row>
    <row r="471">
      <c r="F471" s="1"/>
    </row>
    <row r="472">
      <c r="F472" s="1"/>
    </row>
    <row r="473">
      <c r="F473" s="1"/>
    </row>
    <row r="474">
      <c r="F474" s="1"/>
    </row>
    <row r="475">
      <c r="F475" s="1"/>
    </row>
    <row r="476">
      <c r="F476" s="1"/>
    </row>
    <row r="477">
      <c r="F477" s="1"/>
    </row>
    <row r="478">
      <c r="F478" s="1"/>
    </row>
    <row r="479">
      <c r="F479" s="1"/>
    </row>
    <row r="480">
      <c r="F480" s="1"/>
    </row>
    <row r="481">
      <c r="F481" s="1"/>
    </row>
    <row r="482">
      <c r="F482" s="1"/>
    </row>
    <row r="483">
      <c r="F483" s="1"/>
    </row>
    <row r="484">
      <c r="F484" s="1"/>
    </row>
    <row r="485">
      <c r="F485" s="1"/>
    </row>
    <row r="486">
      <c r="F486" s="1"/>
    </row>
    <row r="487">
      <c r="F487" s="1"/>
    </row>
    <row r="488">
      <c r="F488" s="1"/>
    </row>
    <row r="489">
      <c r="F489" s="1"/>
    </row>
    <row r="490">
      <c r="F490" s="1"/>
    </row>
    <row r="491">
      <c r="F491" s="1"/>
    </row>
    <row r="492">
      <c r="F492" s="1"/>
    </row>
    <row r="493">
      <c r="F493" s="1"/>
    </row>
    <row r="494">
      <c r="F494" s="1"/>
    </row>
    <row r="495">
      <c r="F495" s="1"/>
    </row>
    <row r="496">
      <c r="F496" s="1"/>
    </row>
    <row r="497">
      <c r="F497" s="1"/>
    </row>
    <row r="498">
      <c r="F498" s="1"/>
    </row>
    <row r="499">
      <c r="F499" s="1"/>
    </row>
    <row r="500">
      <c r="F500" s="1"/>
    </row>
    <row r="501">
      <c r="F501" s="1"/>
    </row>
    <row r="502">
      <c r="F502" s="1"/>
    </row>
    <row r="503">
      <c r="F503" s="1"/>
    </row>
    <row r="504">
      <c r="F504" s="1"/>
    </row>
    <row r="505">
      <c r="F505" s="1"/>
    </row>
    <row r="506">
      <c r="F506" s="1"/>
    </row>
    <row r="507">
      <c r="F507" s="1"/>
    </row>
    <row r="508">
      <c r="F508" s="1"/>
    </row>
    <row r="509">
      <c r="F509" s="1"/>
    </row>
    <row r="510">
      <c r="F510" s="1"/>
    </row>
    <row r="511">
      <c r="F511" s="1"/>
    </row>
    <row r="512">
      <c r="F512" s="1"/>
    </row>
    <row r="513">
      <c r="F513" s="1"/>
    </row>
    <row r="514">
      <c r="F514" s="1"/>
    </row>
    <row r="515">
      <c r="F515" s="1"/>
    </row>
    <row r="516">
      <c r="F516" s="1"/>
    </row>
    <row r="517">
      <c r="F517" s="1"/>
    </row>
    <row r="518">
      <c r="F518" s="1"/>
    </row>
    <row r="519">
      <c r="F519" s="1"/>
    </row>
    <row r="520">
      <c r="F520" s="1"/>
    </row>
    <row r="521">
      <c r="F521" s="1"/>
    </row>
    <row r="522">
      <c r="F522" s="1"/>
    </row>
    <row r="523">
      <c r="F523" s="1"/>
    </row>
    <row r="524">
      <c r="F524" s="1"/>
    </row>
    <row r="525">
      <c r="F525" s="1"/>
    </row>
    <row r="526">
      <c r="F526" s="1"/>
    </row>
    <row r="527">
      <c r="F527" s="1"/>
    </row>
    <row r="528">
      <c r="F528" s="1"/>
    </row>
    <row r="529">
      <c r="F529" s="1"/>
    </row>
    <row r="530">
      <c r="F530" s="1"/>
    </row>
    <row r="531">
      <c r="F531" s="1"/>
    </row>
    <row r="532">
      <c r="F532" s="1"/>
    </row>
    <row r="533">
      <c r="F533" s="1"/>
    </row>
    <row r="534">
      <c r="F534" s="1"/>
    </row>
    <row r="535">
      <c r="F535" s="1"/>
    </row>
    <row r="536">
      <c r="F536" s="1"/>
    </row>
    <row r="537">
      <c r="F537" s="1"/>
    </row>
    <row r="538">
      <c r="F538" s="1"/>
    </row>
    <row r="539">
      <c r="F539" s="1"/>
    </row>
    <row r="540">
      <c r="F540" s="1"/>
    </row>
    <row r="541">
      <c r="F541" s="1"/>
    </row>
    <row r="542">
      <c r="F542" s="1"/>
    </row>
    <row r="543">
      <c r="F543" s="1"/>
    </row>
    <row r="544">
      <c r="F544" s="1"/>
    </row>
    <row r="545">
      <c r="F545" s="1"/>
    </row>
    <row r="546">
      <c r="F546" s="1"/>
    </row>
    <row r="547">
      <c r="F547" s="1"/>
    </row>
    <row r="548">
      <c r="F548" s="1"/>
    </row>
    <row r="549">
      <c r="F549" s="1"/>
    </row>
    <row r="550">
      <c r="F550" s="1"/>
    </row>
    <row r="551">
      <c r="F551" s="1"/>
    </row>
    <row r="552">
      <c r="F552" s="1"/>
    </row>
    <row r="553">
      <c r="F553" s="1"/>
    </row>
    <row r="554">
      <c r="F554" s="1"/>
    </row>
    <row r="555">
      <c r="F555" s="1"/>
    </row>
    <row r="556">
      <c r="F556" s="1"/>
    </row>
    <row r="557">
      <c r="F557" s="1"/>
    </row>
    <row r="558">
      <c r="F558" s="1"/>
    </row>
    <row r="559">
      <c r="F559" s="1"/>
    </row>
    <row r="560">
      <c r="F560" s="1"/>
    </row>
    <row r="561">
      <c r="F561" s="1"/>
    </row>
    <row r="562">
      <c r="F562" s="1"/>
    </row>
    <row r="563">
      <c r="F563" s="1"/>
    </row>
    <row r="564">
      <c r="F564" s="1"/>
    </row>
    <row r="565">
      <c r="F565" s="1"/>
    </row>
    <row r="566">
      <c r="F566" s="1"/>
    </row>
    <row r="567">
      <c r="F567" s="1"/>
    </row>
    <row r="568">
      <c r="F568" s="1"/>
    </row>
    <row r="569">
      <c r="F569" s="1"/>
    </row>
    <row r="570">
      <c r="F570" s="1"/>
    </row>
    <row r="571">
      <c r="F571" s="1"/>
    </row>
    <row r="572">
      <c r="F572" s="1"/>
    </row>
    <row r="573">
      <c r="F573" s="1"/>
    </row>
    <row r="574">
      <c r="F574" s="1"/>
    </row>
    <row r="575">
      <c r="F575" s="1"/>
    </row>
    <row r="576">
      <c r="F576" s="1"/>
    </row>
    <row r="577">
      <c r="F577" s="1"/>
    </row>
    <row r="578">
      <c r="F578" s="1"/>
    </row>
    <row r="579">
      <c r="F579" s="1"/>
    </row>
    <row r="580">
      <c r="F580" s="1"/>
    </row>
    <row r="581">
      <c r="F581" s="1"/>
    </row>
    <row r="582">
      <c r="F582" s="1"/>
    </row>
    <row r="583">
      <c r="F583" s="1"/>
    </row>
    <row r="584">
      <c r="F584" s="1"/>
    </row>
    <row r="585">
      <c r="F585" s="1"/>
    </row>
    <row r="586">
      <c r="F586" s="1"/>
    </row>
    <row r="587">
      <c r="F587" s="1"/>
    </row>
    <row r="588">
      <c r="F588" s="1"/>
    </row>
    <row r="589">
      <c r="F589" s="1"/>
    </row>
    <row r="590">
      <c r="F590" s="1"/>
    </row>
    <row r="591">
      <c r="F591" s="1"/>
    </row>
    <row r="592">
      <c r="F592" s="1"/>
    </row>
    <row r="593">
      <c r="F593" s="1"/>
    </row>
    <row r="594">
      <c r="F594" s="1"/>
    </row>
    <row r="595">
      <c r="F595" s="1"/>
    </row>
    <row r="596">
      <c r="F596" s="1"/>
    </row>
    <row r="597">
      <c r="F597" s="1"/>
    </row>
    <row r="598">
      <c r="F598" s="1"/>
    </row>
    <row r="599">
      <c r="F599" s="1"/>
    </row>
    <row r="600">
      <c r="F600" s="1"/>
    </row>
    <row r="601">
      <c r="F601" s="1"/>
    </row>
    <row r="602">
      <c r="F602" s="1"/>
    </row>
    <row r="603">
      <c r="F603" s="1"/>
    </row>
    <row r="604">
      <c r="F604" s="1"/>
    </row>
    <row r="605">
      <c r="F605" s="1"/>
    </row>
    <row r="606">
      <c r="F606" s="1"/>
    </row>
    <row r="607">
      <c r="F607" s="1"/>
    </row>
    <row r="608">
      <c r="F608" s="1"/>
    </row>
    <row r="609">
      <c r="F609" s="1"/>
    </row>
    <row r="610">
      <c r="F610" s="1"/>
    </row>
    <row r="611">
      <c r="F611" s="1"/>
    </row>
    <row r="612">
      <c r="F612" s="1"/>
    </row>
    <row r="613">
      <c r="F613" s="1"/>
    </row>
    <row r="614">
      <c r="F614" s="1"/>
    </row>
    <row r="615">
      <c r="F615" s="1"/>
    </row>
    <row r="616">
      <c r="F616" s="1"/>
    </row>
    <row r="617">
      <c r="F617" s="1"/>
    </row>
    <row r="618">
      <c r="F618" s="1"/>
    </row>
    <row r="619">
      <c r="F619" s="1"/>
    </row>
    <row r="620">
      <c r="F620" s="1"/>
    </row>
    <row r="621">
      <c r="F621" s="1"/>
    </row>
    <row r="622">
      <c r="F622" s="1"/>
    </row>
    <row r="623">
      <c r="F623" s="1"/>
    </row>
    <row r="624">
      <c r="F624" s="1"/>
    </row>
    <row r="625">
      <c r="F625" s="1"/>
    </row>
    <row r="626">
      <c r="F626" s="1"/>
    </row>
    <row r="627">
      <c r="F627" s="1"/>
    </row>
    <row r="628">
      <c r="F628" s="1"/>
    </row>
    <row r="629">
      <c r="F629" s="1"/>
    </row>
    <row r="630">
      <c r="F630" s="1"/>
    </row>
    <row r="631">
      <c r="F631" s="1"/>
    </row>
    <row r="632">
      <c r="F632" s="1"/>
    </row>
    <row r="633">
      <c r="F633" s="1"/>
    </row>
    <row r="634">
      <c r="F634" s="1"/>
    </row>
    <row r="635">
      <c r="F635" s="1"/>
    </row>
    <row r="636">
      <c r="F636" s="1"/>
    </row>
    <row r="637">
      <c r="F637" s="1"/>
    </row>
    <row r="638">
      <c r="F638" s="1"/>
    </row>
    <row r="639">
      <c r="F639" s="1"/>
    </row>
    <row r="640">
      <c r="F640" s="1"/>
    </row>
    <row r="641">
      <c r="F641" s="1"/>
    </row>
    <row r="642">
      <c r="F642" s="1"/>
    </row>
    <row r="643">
      <c r="F643" s="1"/>
    </row>
    <row r="644">
      <c r="F644" s="1"/>
    </row>
    <row r="645">
      <c r="F645" s="1"/>
    </row>
    <row r="646">
      <c r="F646" s="1"/>
    </row>
    <row r="647">
      <c r="F647" s="1"/>
    </row>
    <row r="648">
      <c r="F648" s="1"/>
    </row>
    <row r="649">
      <c r="F649" s="1"/>
    </row>
    <row r="650">
      <c r="F650" s="1"/>
    </row>
    <row r="651">
      <c r="F651" s="1"/>
    </row>
    <row r="652">
      <c r="F652" s="1"/>
    </row>
    <row r="653">
      <c r="F653" s="1"/>
    </row>
    <row r="654">
      <c r="F654" s="1"/>
    </row>
    <row r="655">
      <c r="F655" s="1"/>
    </row>
    <row r="656">
      <c r="F656" s="1"/>
    </row>
    <row r="657">
      <c r="F657" s="1"/>
    </row>
    <row r="658">
      <c r="F658" s="1"/>
    </row>
    <row r="659">
      <c r="F659" s="1"/>
    </row>
    <row r="660">
      <c r="F660" s="1"/>
    </row>
    <row r="661">
      <c r="F661" s="1"/>
    </row>
    <row r="662">
      <c r="F662" s="1"/>
    </row>
    <row r="663">
      <c r="F663" s="1"/>
    </row>
    <row r="664">
      <c r="F664" s="1"/>
    </row>
    <row r="665">
      <c r="F665" s="1"/>
    </row>
    <row r="666">
      <c r="F666" s="1"/>
    </row>
    <row r="667">
      <c r="F667" s="1"/>
    </row>
    <row r="668">
      <c r="F668" s="1"/>
    </row>
    <row r="669">
      <c r="F669" s="1"/>
    </row>
    <row r="670">
      <c r="F670" s="1"/>
    </row>
    <row r="671">
      <c r="F671" s="1"/>
    </row>
    <row r="672">
      <c r="F672" s="1"/>
    </row>
    <row r="673">
      <c r="F673" s="1"/>
    </row>
    <row r="674">
      <c r="F674" s="1"/>
    </row>
    <row r="675">
      <c r="F675" s="1"/>
    </row>
    <row r="676">
      <c r="F676" s="1"/>
    </row>
    <row r="677">
      <c r="F677" s="1"/>
    </row>
    <row r="678">
      <c r="F678" s="1"/>
    </row>
    <row r="679">
      <c r="F679" s="1"/>
    </row>
    <row r="680">
      <c r="F680" s="1"/>
    </row>
    <row r="681">
      <c r="F681" s="1"/>
    </row>
    <row r="682">
      <c r="F682" s="1"/>
    </row>
    <row r="683">
      <c r="F683" s="1"/>
    </row>
    <row r="684">
      <c r="F684" s="1"/>
    </row>
    <row r="685">
      <c r="F685" s="1"/>
    </row>
    <row r="686">
      <c r="F686" s="1"/>
    </row>
    <row r="687">
      <c r="F687" s="1"/>
    </row>
    <row r="688">
      <c r="F688" s="1"/>
    </row>
    <row r="689">
      <c r="F689" s="1"/>
    </row>
    <row r="690">
      <c r="F690" s="1"/>
    </row>
    <row r="691">
      <c r="F691" s="1"/>
    </row>
    <row r="692">
      <c r="F692" s="1"/>
    </row>
    <row r="693">
      <c r="F693" s="1"/>
    </row>
    <row r="694">
      <c r="F694" s="1"/>
    </row>
    <row r="695">
      <c r="F695" s="1"/>
    </row>
    <row r="696">
      <c r="F696" s="1"/>
    </row>
    <row r="697">
      <c r="F697" s="1"/>
    </row>
    <row r="698">
      <c r="F698" s="1"/>
    </row>
    <row r="699">
      <c r="F699" s="1"/>
    </row>
    <row r="700">
      <c r="F700" s="1"/>
    </row>
    <row r="701">
      <c r="F701" s="1"/>
    </row>
    <row r="702">
      <c r="F702" s="1"/>
    </row>
    <row r="703">
      <c r="F703" s="1"/>
    </row>
    <row r="704">
      <c r="F704" s="1"/>
    </row>
    <row r="705">
      <c r="F705" s="1"/>
    </row>
    <row r="706">
      <c r="F706" s="1"/>
    </row>
    <row r="707">
      <c r="F707" s="1"/>
    </row>
    <row r="708">
      <c r="F708" s="1"/>
    </row>
    <row r="709">
      <c r="F709" s="1"/>
    </row>
    <row r="710">
      <c r="F710" s="1"/>
    </row>
    <row r="711">
      <c r="F711" s="1"/>
    </row>
    <row r="712">
      <c r="F712" s="1"/>
    </row>
    <row r="713">
      <c r="F713" s="1"/>
    </row>
    <row r="714">
      <c r="F714" s="1"/>
    </row>
    <row r="715">
      <c r="F715" s="1"/>
    </row>
    <row r="716">
      <c r="F716" s="1"/>
    </row>
    <row r="717">
      <c r="F717" s="1"/>
    </row>
    <row r="718">
      <c r="F718" s="1"/>
    </row>
    <row r="719">
      <c r="F719" s="1"/>
    </row>
    <row r="720">
      <c r="F720" s="1"/>
    </row>
    <row r="721">
      <c r="F721" s="1"/>
    </row>
    <row r="722">
      <c r="F722" s="1"/>
    </row>
    <row r="723">
      <c r="F723" s="1"/>
    </row>
    <row r="724">
      <c r="F724" s="1"/>
    </row>
    <row r="725">
      <c r="F725" s="1"/>
    </row>
    <row r="726">
      <c r="F726" s="1"/>
    </row>
    <row r="727">
      <c r="F727" s="1"/>
    </row>
    <row r="728">
      <c r="F728" s="1"/>
    </row>
    <row r="729">
      <c r="F729" s="1"/>
    </row>
    <row r="730">
      <c r="F730" s="1"/>
    </row>
    <row r="731">
      <c r="F731" s="1"/>
    </row>
    <row r="732">
      <c r="F732" s="1"/>
    </row>
    <row r="733">
      <c r="F733" s="1"/>
    </row>
    <row r="734">
      <c r="F734" s="1"/>
    </row>
    <row r="735">
      <c r="F735" s="1"/>
    </row>
    <row r="736">
      <c r="F736" s="1"/>
    </row>
    <row r="737">
      <c r="F737" s="1"/>
    </row>
    <row r="738">
      <c r="F738" s="1"/>
    </row>
    <row r="739">
      <c r="F739" s="1"/>
    </row>
    <row r="740">
      <c r="F740" s="1"/>
    </row>
    <row r="741">
      <c r="F741" s="1"/>
    </row>
    <row r="742">
      <c r="F742" s="1"/>
    </row>
    <row r="743">
      <c r="F743" s="1"/>
    </row>
    <row r="744">
      <c r="F744" s="1"/>
    </row>
    <row r="745">
      <c r="F745" s="1"/>
    </row>
    <row r="746">
      <c r="F746" s="1"/>
    </row>
    <row r="747">
      <c r="F747" s="1"/>
    </row>
    <row r="748">
      <c r="F748" s="1"/>
    </row>
    <row r="749">
      <c r="F749" s="1"/>
    </row>
    <row r="750">
      <c r="F750" s="1"/>
    </row>
    <row r="751">
      <c r="F751" s="1"/>
    </row>
    <row r="752">
      <c r="F752" s="1"/>
    </row>
    <row r="753">
      <c r="F753" s="1"/>
    </row>
    <row r="754">
      <c r="F754" s="1"/>
    </row>
    <row r="755">
      <c r="F755" s="1"/>
    </row>
    <row r="756">
      <c r="F756" s="1"/>
    </row>
    <row r="757">
      <c r="F757" s="1"/>
    </row>
    <row r="758">
      <c r="F758" s="1"/>
    </row>
    <row r="759">
      <c r="F759" s="1"/>
    </row>
    <row r="760">
      <c r="F760" s="1"/>
    </row>
    <row r="761">
      <c r="F761" s="1"/>
    </row>
    <row r="762">
      <c r="F762" s="1"/>
    </row>
    <row r="763">
      <c r="F763" s="1"/>
    </row>
    <row r="764">
      <c r="F764" s="1"/>
    </row>
    <row r="765">
      <c r="F765" s="1"/>
    </row>
    <row r="766">
      <c r="F766" s="1"/>
    </row>
    <row r="767">
      <c r="F767" s="1"/>
    </row>
    <row r="768">
      <c r="F768" s="1"/>
    </row>
    <row r="769">
      <c r="F769" s="1"/>
    </row>
    <row r="770">
      <c r="F770" s="1"/>
    </row>
    <row r="771">
      <c r="F771" s="1"/>
    </row>
    <row r="772">
      <c r="F772" s="1"/>
    </row>
    <row r="773">
      <c r="F773" s="1"/>
    </row>
    <row r="774">
      <c r="F774" s="1"/>
    </row>
    <row r="775">
      <c r="F775" s="1"/>
    </row>
    <row r="776">
      <c r="F776" s="1"/>
    </row>
    <row r="777">
      <c r="F777" s="1"/>
    </row>
    <row r="778">
      <c r="F778" s="1"/>
    </row>
    <row r="779">
      <c r="F779" s="1"/>
    </row>
    <row r="780">
      <c r="F780" s="1"/>
    </row>
    <row r="781">
      <c r="F781" s="1"/>
    </row>
    <row r="782">
      <c r="F782" s="1"/>
    </row>
    <row r="783">
      <c r="F783" s="1"/>
    </row>
    <row r="784">
      <c r="F784" s="1"/>
    </row>
    <row r="785">
      <c r="F785" s="1"/>
    </row>
    <row r="786">
      <c r="F786" s="1"/>
    </row>
    <row r="787">
      <c r="F787" s="1"/>
    </row>
    <row r="788">
      <c r="F788" s="1"/>
    </row>
    <row r="789">
      <c r="F789" s="1"/>
    </row>
    <row r="790">
      <c r="F790" s="1"/>
    </row>
    <row r="791">
      <c r="F791" s="1"/>
    </row>
    <row r="792">
      <c r="F792" s="1"/>
    </row>
    <row r="793">
      <c r="F793" s="1"/>
    </row>
    <row r="794">
      <c r="F794" s="1"/>
    </row>
    <row r="795">
      <c r="F795" s="1"/>
    </row>
    <row r="796">
      <c r="F796" s="1"/>
    </row>
    <row r="797">
      <c r="F797" s="1"/>
    </row>
    <row r="798">
      <c r="F798" s="1"/>
    </row>
    <row r="799">
      <c r="F799" s="1"/>
    </row>
    <row r="800">
      <c r="F800" s="1"/>
    </row>
    <row r="801">
      <c r="F801" s="1"/>
    </row>
    <row r="802">
      <c r="F802" s="1"/>
    </row>
    <row r="803">
      <c r="F803" s="1"/>
    </row>
    <row r="804">
      <c r="F804" s="1"/>
    </row>
    <row r="805">
      <c r="F805" s="1"/>
    </row>
    <row r="806">
      <c r="F806" s="1"/>
    </row>
    <row r="807">
      <c r="F807" s="1"/>
    </row>
    <row r="808">
      <c r="F808" s="1"/>
    </row>
    <row r="809">
      <c r="F809" s="1"/>
    </row>
    <row r="810">
      <c r="F810" s="1"/>
    </row>
    <row r="811">
      <c r="F811" s="1"/>
    </row>
    <row r="812">
      <c r="F812" s="1"/>
    </row>
    <row r="813">
      <c r="F813" s="1"/>
    </row>
    <row r="814">
      <c r="F814" s="1"/>
    </row>
    <row r="815">
      <c r="F815" s="1"/>
    </row>
    <row r="816">
      <c r="F816" s="1"/>
    </row>
    <row r="817">
      <c r="F817" s="1"/>
    </row>
    <row r="818">
      <c r="F818" s="1"/>
    </row>
    <row r="819">
      <c r="F819" s="1"/>
    </row>
    <row r="820">
      <c r="F820" s="1"/>
    </row>
    <row r="821">
      <c r="F821" s="1"/>
    </row>
    <row r="822">
      <c r="F822" s="1"/>
    </row>
    <row r="823">
      <c r="F823" s="1"/>
    </row>
    <row r="824">
      <c r="F824" s="1"/>
    </row>
    <row r="825">
      <c r="F825" s="1"/>
    </row>
    <row r="826">
      <c r="F826" s="1"/>
    </row>
    <row r="827">
      <c r="F827" s="1"/>
    </row>
    <row r="828">
      <c r="F828" s="1"/>
    </row>
    <row r="829">
      <c r="F829" s="1"/>
    </row>
    <row r="830">
      <c r="F830" s="1"/>
    </row>
    <row r="831">
      <c r="F831" s="1"/>
    </row>
    <row r="832">
      <c r="F832" s="1"/>
    </row>
    <row r="833">
      <c r="F833" s="1"/>
    </row>
    <row r="834">
      <c r="F834" s="1"/>
    </row>
    <row r="835">
      <c r="F835" s="1"/>
    </row>
    <row r="836">
      <c r="F836" s="1"/>
    </row>
    <row r="837">
      <c r="F837" s="1"/>
    </row>
    <row r="838">
      <c r="F838" s="1"/>
    </row>
    <row r="839">
      <c r="F839" s="1"/>
    </row>
    <row r="840">
      <c r="F840" s="1"/>
    </row>
    <row r="841">
      <c r="F841" s="1"/>
    </row>
    <row r="842">
      <c r="F842" s="1"/>
    </row>
    <row r="843">
      <c r="F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row r="914">
      <c r="F914" s="1"/>
    </row>
    <row r="915">
      <c r="F915" s="1"/>
    </row>
    <row r="916">
      <c r="F916" s="1"/>
    </row>
    <row r="917">
      <c r="F917" s="1"/>
    </row>
    <row r="918">
      <c r="F918" s="1"/>
    </row>
    <row r="919">
      <c r="F919" s="1"/>
    </row>
    <row r="920">
      <c r="F920" s="1"/>
    </row>
    <row r="921">
      <c r="F921" s="1"/>
    </row>
    <row r="922">
      <c r="F922" s="1"/>
    </row>
    <row r="923">
      <c r="F923" s="1"/>
    </row>
    <row r="924">
      <c r="F924" s="1"/>
    </row>
    <row r="925">
      <c r="F925" s="1"/>
    </row>
    <row r="926">
      <c r="F926" s="1"/>
    </row>
    <row r="927">
      <c r="F927" s="1"/>
    </row>
    <row r="928">
      <c r="F928" s="1"/>
    </row>
    <row r="929">
      <c r="F929" s="1"/>
    </row>
    <row r="930">
      <c r="F930" s="1"/>
    </row>
    <row r="931">
      <c r="F931" s="1"/>
    </row>
    <row r="932">
      <c r="F932" s="1"/>
    </row>
    <row r="933">
      <c r="F933" s="1"/>
    </row>
    <row r="934">
      <c r="F934" s="1"/>
    </row>
    <row r="935">
      <c r="F935" s="1"/>
    </row>
    <row r="936">
      <c r="F936" s="1"/>
    </row>
    <row r="937">
      <c r="F937" s="1"/>
    </row>
    <row r="938">
      <c r="F938" s="1"/>
    </row>
    <row r="939">
      <c r="F939" s="1"/>
    </row>
    <row r="940">
      <c r="F940" s="1"/>
    </row>
    <row r="941">
      <c r="F941" s="1"/>
    </row>
    <row r="942">
      <c r="F942" s="1"/>
    </row>
    <row r="943">
      <c r="F943" s="1"/>
    </row>
    <row r="944">
      <c r="F944" s="1"/>
    </row>
    <row r="945">
      <c r="F945" s="1"/>
    </row>
    <row r="946">
      <c r="F946" s="1"/>
    </row>
    <row r="947">
      <c r="F947" s="1"/>
    </row>
    <row r="948">
      <c r="F948" s="1"/>
    </row>
    <row r="949">
      <c r="F949" s="1"/>
    </row>
    <row r="950">
      <c r="F950" s="1"/>
    </row>
    <row r="951">
      <c r="F951" s="1"/>
    </row>
    <row r="952">
      <c r="F952" s="1"/>
    </row>
    <row r="953">
      <c r="F953" s="1"/>
    </row>
    <row r="954">
      <c r="F954" s="1"/>
    </row>
    <row r="955">
      <c r="F955" s="1"/>
    </row>
    <row r="956">
      <c r="F956" s="1"/>
    </row>
    <row r="957">
      <c r="F957" s="1"/>
    </row>
    <row r="958">
      <c r="F958" s="1"/>
    </row>
    <row r="959">
      <c r="F959" s="1"/>
    </row>
    <row r="960">
      <c r="F960" s="1"/>
    </row>
    <row r="961">
      <c r="F961" s="1"/>
    </row>
    <row r="962">
      <c r="F962" s="1"/>
    </row>
    <row r="963">
      <c r="F963" s="1"/>
    </row>
    <row r="964">
      <c r="F964" s="1"/>
    </row>
    <row r="965">
      <c r="F965" s="1"/>
    </row>
    <row r="966">
      <c r="F966" s="1"/>
    </row>
    <row r="967">
      <c r="F967" s="1"/>
    </row>
    <row r="968">
      <c r="F968" s="1"/>
    </row>
    <row r="969">
      <c r="F969" s="1"/>
    </row>
    <row r="970">
      <c r="F970" s="1"/>
    </row>
    <row r="971">
      <c r="F971" s="1"/>
    </row>
    <row r="972">
      <c r="F972" s="1"/>
    </row>
    <row r="973">
      <c r="F973" s="1"/>
    </row>
    <row r="974">
      <c r="F974" s="1"/>
    </row>
    <row r="975">
      <c r="F975" s="1"/>
    </row>
    <row r="976">
      <c r="F976" s="1"/>
    </row>
    <row r="977">
      <c r="F977" s="1"/>
    </row>
    <row r="978">
      <c r="F978" s="1"/>
    </row>
    <row r="979">
      <c r="F979" s="1"/>
    </row>
    <row r="980">
      <c r="F980" s="1"/>
    </row>
    <row r="981">
      <c r="F981" s="1"/>
    </row>
    <row r="982">
      <c r="F982" s="1"/>
    </row>
    <row r="983">
      <c r="F983" s="1"/>
    </row>
    <row r="984">
      <c r="F984" s="1"/>
    </row>
    <row r="985">
      <c r="F985" s="1"/>
    </row>
    <row r="986">
      <c r="F986" s="1"/>
    </row>
    <row r="987">
      <c r="F987" s="1"/>
    </row>
    <row r="988">
      <c r="F988" s="1"/>
    </row>
    <row r="989">
      <c r="F989" s="1"/>
    </row>
    <row r="990">
      <c r="F990" s="1"/>
    </row>
    <row r="991">
      <c r="F991" s="1"/>
    </row>
    <row r="992">
      <c r="F992" s="1"/>
    </row>
    <row r="993">
      <c r="F993" s="1"/>
    </row>
    <row r="994">
      <c r="F994" s="1"/>
    </row>
    <row r="995">
      <c r="F995" s="1"/>
    </row>
    <row r="996">
      <c r="F996" s="1"/>
    </row>
    <row r="997">
      <c r="F997" s="1"/>
    </row>
    <row r="998">
      <c r="F998" s="1"/>
    </row>
    <row r="999">
      <c r="F999" s="1"/>
    </row>
    <row r="1000">
      <c r="F1000" s="1"/>
    </row>
  </sheetData>
  <dataValidations>
    <dataValidation type="list" allowBlank="1" sqref="E2:E47">
      <formula1>"Raum,Fenster,Türen"</formula1>
    </dataValidation>
    <dataValidation type="list" allowBlank="1" sqref="B2:B47">
      <formula1>"Umfang,Decken,Wände,Fenster innen,Fenster außen,Türen,Boden"</formula1>
    </dataValidation>
    <dataValidation type="list" allowBlank="1" sqref="D2:D47">
      <formula1>"Mengen,Leistung"</formula1>
    </dataValidation>
    <dataValidation type="list" allowBlank="1" sqref="H2:H47">
      <formula1>"Objektverwaltung,Leistungsspezifikation"</formula1>
    </dataValidation>
    <dataValidation type="list" allowBlank="1" sqref="I2:I47">
      <formula1>"Admin SE,Global,Kunde Shop"</formula1>
    </dataValidation>
    <dataValidation type="list" allowBlank="1" sqref="C2:C47">
      <formula1>"Global einmalig,Global am Tag,Tapete entfernen,Raufaser,Malervlies,Mustertapete,Überholungsanstrich,Neuanstrich Decken und Wände,Lackieren,Bodenbeläge,Keine"</formula1>
    </dataValidation>
  </dataValidations>
  <printOptions/>
  <pageMargins bottom="0.787401575" footer="0.0" header="0.0" left="0.7" right="0.7" top="0.7874015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1.0"/>
    <col customWidth="1" min="2" max="2" width="19.5"/>
    <col customWidth="1" min="3" max="3" width="31.25"/>
    <col customWidth="1" min="4" max="4" width="29.38"/>
    <col customWidth="1" min="5" max="5" width="33.0"/>
    <col customWidth="1" min="6" max="6" width="28.38"/>
    <col customWidth="1" min="7" max="26" width="11.0"/>
  </cols>
  <sheetData>
    <row r="2" ht="22.5" customHeight="1">
      <c r="B2" s="22" t="s">
        <v>373</v>
      </c>
      <c r="C2" s="22" t="s">
        <v>374</v>
      </c>
      <c r="D2" s="22" t="s">
        <v>375</v>
      </c>
      <c r="E2" s="22" t="s">
        <v>376</v>
      </c>
      <c r="F2" s="22" t="s">
        <v>377</v>
      </c>
    </row>
    <row r="3" ht="22.5" customHeight="1">
      <c r="B3" s="23" t="s">
        <v>378</v>
      </c>
      <c r="C3" s="23" t="s">
        <v>379</v>
      </c>
      <c r="D3" s="23">
        <v>65.0</v>
      </c>
      <c r="E3" s="23" t="s">
        <v>380</v>
      </c>
      <c r="F3" s="23" t="s">
        <v>381</v>
      </c>
    </row>
    <row r="4" ht="22.5" customHeight="1">
      <c r="B4" s="23" t="s">
        <v>378</v>
      </c>
      <c r="C4" s="23" t="s">
        <v>382</v>
      </c>
      <c r="D4" s="23" t="s">
        <v>383</v>
      </c>
      <c r="E4" s="23" t="s">
        <v>384</v>
      </c>
      <c r="F4" s="23" t="s">
        <v>385</v>
      </c>
    </row>
    <row r="5" ht="22.5" customHeight="1">
      <c r="B5" s="23" t="s">
        <v>378</v>
      </c>
      <c r="C5" s="23" t="s">
        <v>386</v>
      </c>
      <c r="D5" s="23" t="s">
        <v>387</v>
      </c>
      <c r="E5" s="23" t="s">
        <v>388</v>
      </c>
      <c r="F5" s="23" t="s">
        <v>389</v>
      </c>
    </row>
    <row r="6" ht="22.5" customHeight="1">
      <c r="B6" s="23" t="s">
        <v>378</v>
      </c>
      <c r="C6" s="23" t="s">
        <v>390</v>
      </c>
      <c r="D6" s="23" t="s">
        <v>391</v>
      </c>
      <c r="E6" s="23" t="s">
        <v>392</v>
      </c>
      <c r="F6" s="23" t="s">
        <v>393</v>
      </c>
    </row>
    <row r="7" ht="22.5" customHeight="1">
      <c r="B7" s="23" t="s">
        <v>378</v>
      </c>
      <c r="C7" s="23" t="s">
        <v>394</v>
      </c>
      <c r="D7" s="23" t="s">
        <v>395</v>
      </c>
      <c r="E7" s="23" t="s">
        <v>396</v>
      </c>
      <c r="F7" s="23" t="s">
        <v>397</v>
      </c>
    </row>
    <row r="8" ht="22.5" customHeight="1">
      <c r="B8" s="23" t="s">
        <v>398</v>
      </c>
      <c r="C8" s="23" t="s">
        <v>399</v>
      </c>
      <c r="D8" s="23" t="s">
        <v>400</v>
      </c>
      <c r="E8" s="23" t="s">
        <v>401</v>
      </c>
      <c r="F8" s="23" t="s">
        <v>402</v>
      </c>
    </row>
    <row r="9" ht="22.5" customHeight="1">
      <c r="B9" s="23" t="s">
        <v>398</v>
      </c>
      <c r="C9" s="23" t="s">
        <v>403</v>
      </c>
      <c r="D9" s="23" t="s">
        <v>404</v>
      </c>
      <c r="E9" s="23" t="s">
        <v>405</v>
      </c>
      <c r="F9" s="23" t="s">
        <v>406</v>
      </c>
    </row>
    <row r="10" ht="22.5" customHeight="1">
      <c r="B10" s="23" t="s">
        <v>407</v>
      </c>
      <c r="C10" s="23" t="s">
        <v>408</v>
      </c>
      <c r="D10" s="23" t="s">
        <v>409</v>
      </c>
      <c r="E10" s="23" t="s">
        <v>410</v>
      </c>
      <c r="F10" s="23" t="s">
        <v>411</v>
      </c>
    </row>
    <row r="11" ht="22.5" customHeight="1">
      <c r="B11" s="23" t="s">
        <v>407</v>
      </c>
      <c r="C11" s="23" t="s">
        <v>412</v>
      </c>
      <c r="D11" s="23" t="s">
        <v>413</v>
      </c>
      <c r="E11" s="23" t="s">
        <v>414</v>
      </c>
      <c r="F11" s="23" t="s">
        <v>415</v>
      </c>
    </row>
    <row r="12" ht="22.5" customHeight="1">
      <c r="B12" s="23" t="s">
        <v>407</v>
      </c>
      <c r="C12" s="23" t="s">
        <v>416</v>
      </c>
      <c r="D12" s="23" t="s">
        <v>417</v>
      </c>
      <c r="E12" s="23" t="s">
        <v>396</v>
      </c>
      <c r="F12" s="23" t="s">
        <v>418</v>
      </c>
    </row>
    <row r="13" ht="22.5" customHeight="1">
      <c r="B13" s="23" t="s">
        <v>407</v>
      </c>
      <c r="C13" s="23" t="s">
        <v>419</v>
      </c>
      <c r="D13" s="23" t="s">
        <v>420</v>
      </c>
      <c r="E13" s="23" t="s">
        <v>421</v>
      </c>
      <c r="F13" s="23" t="s">
        <v>422</v>
      </c>
    </row>
    <row r="14" ht="22.5" customHeight="1">
      <c r="B14" s="23" t="s">
        <v>407</v>
      </c>
      <c r="C14" s="23" t="s">
        <v>423</v>
      </c>
      <c r="D14" s="23" t="s">
        <v>424</v>
      </c>
      <c r="E14" s="23" t="s">
        <v>425</v>
      </c>
      <c r="F14" s="23" t="s">
        <v>426</v>
      </c>
    </row>
    <row r="15" ht="22.5" customHeight="1">
      <c r="B15" s="23" t="s">
        <v>407</v>
      </c>
      <c r="C15" s="23" t="s">
        <v>427</v>
      </c>
      <c r="D15" s="23" t="s">
        <v>428</v>
      </c>
      <c r="E15" s="23" t="s">
        <v>429</v>
      </c>
      <c r="F15" s="23" t="s">
        <v>430</v>
      </c>
    </row>
    <row r="16" ht="22.5" customHeight="1">
      <c r="B16" s="23" t="s">
        <v>407</v>
      </c>
      <c r="C16" s="23" t="s">
        <v>431</v>
      </c>
      <c r="D16" s="23" t="s">
        <v>432</v>
      </c>
      <c r="E16" s="23" t="s">
        <v>433</v>
      </c>
      <c r="F16" s="23" t="s">
        <v>434</v>
      </c>
    </row>
    <row r="17" ht="22.5" customHeight="1">
      <c r="B17" s="23" t="s">
        <v>407</v>
      </c>
      <c r="C17" s="23" t="s">
        <v>435</v>
      </c>
      <c r="D17" s="23" t="s">
        <v>436</v>
      </c>
      <c r="E17" s="23" t="s">
        <v>437</v>
      </c>
      <c r="F17" s="23" t="s">
        <v>438</v>
      </c>
    </row>
    <row r="18" ht="22.5" customHeight="1">
      <c r="B18" s="23" t="s">
        <v>407</v>
      </c>
      <c r="C18" s="23" t="s">
        <v>439</v>
      </c>
      <c r="D18" s="23" t="s">
        <v>440</v>
      </c>
      <c r="E18" s="23" t="s">
        <v>441</v>
      </c>
      <c r="F18" s="23" t="s">
        <v>442</v>
      </c>
    </row>
    <row r="19" ht="22.5" customHeight="1">
      <c r="B19" s="23" t="s">
        <v>407</v>
      </c>
      <c r="C19" s="23" t="s">
        <v>443</v>
      </c>
      <c r="D19" s="23" t="s">
        <v>432</v>
      </c>
      <c r="E19" s="23" t="s">
        <v>444</v>
      </c>
      <c r="F19" s="23" t="s">
        <v>445</v>
      </c>
    </row>
    <row r="20" ht="22.5" customHeight="1">
      <c r="B20" s="23" t="s">
        <v>407</v>
      </c>
      <c r="C20" s="23" t="s">
        <v>446</v>
      </c>
      <c r="D20" s="23" t="s">
        <v>432</v>
      </c>
      <c r="E20" s="23" t="s">
        <v>447</v>
      </c>
      <c r="F20" s="23" t="s">
        <v>448</v>
      </c>
    </row>
    <row r="21" ht="22.5" customHeight="1">
      <c r="B21" s="23" t="s">
        <v>407</v>
      </c>
      <c r="C21" s="23" t="s">
        <v>449</v>
      </c>
      <c r="D21" s="23" t="s">
        <v>450</v>
      </c>
      <c r="E21" s="23" t="s">
        <v>451</v>
      </c>
      <c r="F21" s="23" t="s">
        <v>452</v>
      </c>
    </row>
    <row r="22" ht="22.5" customHeight="1">
      <c r="B22" s="23" t="s">
        <v>407</v>
      </c>
      <c r="C22" s="23" t="s">
        <v>453</v>
      </c>
      <c r="D22" s="23" t="s">
        <v>454</v>
      </c>
      <c r="E22" s="23" t="s">
        <v>455</v>
      </c>
      <c r="F22" s="23" t="s">
        <v>456</v>
      </c>
    </row>
    <row r="23" ht="22.5" customHeight="1">
      <c r="B23" s="23" t="s">
        <v>407</v>
      </c>
      <c r="C23" s="23" t="s">
        <v>457</v>
      </c>
      <c r="D23" s="23" t="s">
        <v>432</v>
      </c>
      <c r="E23" s="23" t="s">
        <v>458</v>
      </c>
      <c r="F23" s="23" t="s">
        <v>459</v>
      </c>
    </row>
    <row r="24" ht="22.5" customHeight="1">
      <c r="B24" s="23" t="s">
        <v>460</v>
      </c>
      <c r="C24" s="23" t="s">
        <v>461</v>
      </c>
      <c r="D24" s="23" t="s">
        <v>462</v>
      </c>
      <c r="E24" s="23" t="s">
        <v>463</v>
      </c>
      <c r="F24" s="23" t="s">
        <v>464</v>
      </c>
    </row>
    <row r="25" ht="22.5" customHeight="1">
      <c r="B25" s="23" t="s">
        <v>460</v>
      </c>
      <c r="C25" s="23" t="s">
        <v>465</v>
      </c>
      <c r="D25" s="23" t="s">
        <v>462</v>
      </c>
      <c r="E25" s="23" t="s">
        <v>466</v>
      </c>
      <c r="F25" s="23" t="s">
        <v>467</v>
      </c>
    </row>
    <row r="26" ht="22.5" customHeight="1">
      <c r="B26" s="23" t="s">
        <v>460</v>
      </c>
      <c r="C26" s="23" t="s">
        <v>468</v>
      </c>
      <c r="D26" s="23" t="s">
        <v>462</v>
      </c>
      <c r="E26" s="23" t="s">
        <v>469</v>
      </c>
      <c r="F26" s="23" t="s">
        <v>470</v>
      </c>
    </row>
    <row r="27" ht="22.5" customHeight="1">
      <c r="B27" s="23" t="s">
        <v>460</v>
      </c>
      <c r="C27" s="23" t="s">
        <v>471</v>
      </c>
      <c r="D27" s="23" t="s">
        <v>462</v>
      </c>
      <c r="E27" s="23" t="s">
        <v>472</v>
      </c>
      <c r="F27" s="23" t="s">
        <v>473</v>
      </c>
    </row>
    <row r="28" ht="22.5" customHeight="1">
      <c r="B28" s="23" t="s">
        <v>460</v>
      </c>
      <c r="C28" s="23" t="s">
        <v>474</v>
      </c>
      <c r="D28" s="23" t="s">
        <v>462</v>
      </c>
      <c r="E28" s="23" t="s">
        <v>475</v>
      </c>
      <c r="F28" s="23" t="s">
        <v>476</v>
      </c>
    </row>
    <row r="29" ht="22.5" customHeight="1">
      <c r="B29" s="23" t="s">
        <v>460</v>
      </c>
      <c r="C29" s="23" t="s">
        <v>477</v>
      </c>
      <c r="D29" s="23" t="s">
        <v>462</v>
      </c>
      <c r="E29" s="23" t="s">
        <v>478</v>
      </c>
      <c r="F29" s="23" t="s">
        <v>479</v>
      </c>
    </row>
    <row r="30" ht="22.5" customHeight="1">
      <c r="B30" s="23" t="s">
        <v>460</v>
      </c>
      <c r="C30" s="23" t="s">
        <v>480</v>
      </c>
      <c r="D30" s="23" t="s">
        <v>462</v>
      </c>
      <c r="E30" s="23" t="s">
        <v>481</v>
      </c>
      <c r="F30" s="23" t="s">
        <v>482</v>
      </c>
    </row>
    <row r="31" ht="22.5" customHeight="1">
      <c r="B31" s="23" t="s">
        <v>460</v>
      </c>
      <c r="C31" s="23" t="s">
        <v>483</v>
      </c>
      <c r="D31" s="23" t="s">
        <v>484</v>
      </c>
      <c r="E31" s="23" t="s">
        <v>485</v>
      </c>
      <c r="F31" s="23" t="s">
        <v>486</v>
      </c>
    </row>
    <row r="32" ht="22.5" customHeight="1">
      <c r="B32" s="23" t="s">
        <v>460</v>
      </c>
      <c r="C32" s="23" t="s">
        <v>487</v>
      </c>
      <c r="D32" s="23" t="s">
        <v>462</v>
      </c>
      <c r="E32" s="23" t="s">
        <v>488</v>
      </c>
      <c r="F32" s="23" t="s">
        <v>489</v>
      </c>
    </row>
    <row r="33" ht="22.5" customHeight="1">
      <c r="B33" s="23" t="s">
        <v>460</v>
      </c>
      <c r="C33" s="23" t="s">
        <v>490</v>
      </c>
      <c r="D33" s="23" t="s">
        <v>462</v>
      </c>
      <c r="E33" s="23" t="s">
        <v>491</v>
      </c>
      <c r="F33" s="23" t="s">
        <v>492</v>
      </c>
    </row>
    <row r="34" ht="22.5" customHeight="1">
      <c r="B34" s="23" t="s">
        <v>460</v>
      </c>
      <c r="C34" s="23" t="s">
        <v>493</v>
      </c>
      <c r="D34" s="23" t="s">
        <v>494</v>
      </c>
      <c r="E34" s="23" t="s">
        <v>495</v>
      </c>
      <c r="F34" s="23" t="s">
        <v>496</v>
      </c>
    </row>
    <row r="35" ht="22.5" customHeight="1">
      <c r="B35" s="23" t="s">
        <v>460</v>
      </c>
      <c r="C35" s="23" t="s">
        <v>497</v>
      </c>
      <c r="D35" s="23" t="s">
        <v>462</v>
      </c>
      <c r="E35" s="23" t="s">
        <v>498</v>
      </c>
      <c r="F35" s="23" t="s">
        <v>499</v>
      </c>
    </row>
    <row r="36" ht="22.5" customHeight="1">
      <c r="B36" s="23" t="s">
        <v>460</v>
      </c>
      <c r="C36" s="23" t="s">
        <v>500</v>
      </c>
      <c r="D36" s="23" t="s">
        <v>484</v>
      </c>
      <c r="E36" s="23" t="s">
        <v>501</v>
      </c>
      <c r="F36" s="23" t="s">
        <v>502</v>
      </c>
    </row>
    <row r="37" ht="22.5" customHeight="1">
      <c r="B37" s="23" t="s">
        <v>460</v>
      </c>
      <c r="C37" s="23" t="s">
        <v>503</v>
      </c>
      <c r="D37" s="23" t="s">
        <v>462</v>
      </c>
      <c r="E37" s="23" t="s">
        <v>504</v>
      </c>
      <c r="F37" s="23" t="s">
        <v>505</v>
      </c>
    </row>
    <row r="38" ht="22.5" customHeight="1">
      <c r="B38" s="23" t="s">
        <v>460</v>
      </c>
      <c r="C38" s="23" t="s">
        <v>506</v>
      </c>
      <c r="D38" s="23" t="s">
        <v>462</v>
      </c>
      <c r="E38" s="23" t="s">
        <v>507</v>
      </c>
      <c r="F38" s="23" t="s">
        <v>508</v>
      </c>
    </row>
    <row r="39" ht="22.5" customHeight="1">
      <c r="B39" s="23" t="s">
        <v>509</v>
      </c>
      <c r="C39" s="23" t="s">
        <v>510</v>
      </c>
      <c r="D39" s="23" t="s">
        <v>494</v>
      </c>
      <c r="E39" s="23" t="s">
        <v>495</v>
      </c>
      <c r="F39" s="23" t="s">
        <v>511</v>
      </c>
    </row>
    <row r="40" ht="22.5" customHeight="1">
      <c r="B40" s="23" t="s">
        <v>509</v>
      </c>
      <c r="C40" s="23" t="s">
        <v>512</v>
      </c>
      <c r="D40" s="23" t="s">
        <v>462</v>
      </c>
      <c r="E40" s="23" t="s">
        <v>513</v>
      </c>
      <c r="F40" s="23" t="s">
        <v>514</v>
      </c>
    </row>
    <row r="41" ht="22.5" customHeight="1">
      <c r="B41" s="23" t="s">
        <v>515</v>
      </c>
      <c r="C41" s="23" t="s">
        <v>516</v>
      </c>
      <c r="D41" s="23" t="s">
        <v>517</v>
      </c>
      <c r="E41" s="23" t="s">
        <v>518</v>
      </c>
      <c r="F41" s="23" t="s">
        <v>519</v>
      </c>
    </row>
    <row r="42" ht="22.5" customHeight="1">
      <c r="B42" s="23" t="s">
        <v>515</v>
      </c>
      <c r="C42" s="23" t="s">
        <v>520</v>
      </c>
      <c r="D42" s="23" t="s">
        <v>462</v>
      </c>
      <c r="E42" s="23" t="s">
        <v>521</v>
      </c>
      <c r="F42" s="23" t="s">
        <v>522</v>
      </c>
    </row>
    <row r="43" ht="22.5" customHeight="1">
      <c r="B43" s="23" t="s">
        <v>515</v>
      </c>
      <c r="C43" s="23" t="s">
        <v>523</v>
      </c>
      <c r="D43" s="23" t="s">
        <v>462</v>
      </c>
      <c r="E43" s="23" t="s">
        <v>524</v>
      </c>
      <c r="F43" s="23" t="s">
        <v>525</v>
      </c>
    </row>
    <row r="44" ht="22.5" customHeight="1">
      <c r="B44" s="23" t="s">
        <v>526</v>
      </c>
      <c r="C44" s="23" t="s">
        <v>527</v>
      </c>
      <c r="D44" s="23" t="s">
        <v>432</v>
      </c>
      <c r="E44" s="23" t="s">
        <v>528</v>
      </c>
      <c r="F44" s="23" t="s">
        <v>529</v>
      </c>
    </row>
    <row r="45" ht="22.5" customHeight="1">
      <c r="B45" s="23" t="s">
        <v>526</v>
      </c>
      <c r="C45" s="23" t="s">
        <v>530</v>
      </c>
      <c r="D45" s="23" t="s">
        <v>432</v>
      </c>
      <c r="E45" s="23" t="s">
        <v>531</v>
      </c>
      <c r="F45" s="23" t="s">
        <v>532</v>
      </c>
    </row>
    <row r="46" ht="22.5" customHeight="1">
      <c r="B46" s="23" t="s">
        <v>526</v>
      </c>
      <c r="C46" s="23" t="s">
        <v>533</v>
      </c>
      <c r="D46" s="23" t="s">
        <v>534</v>
      </c>
      <c r="E46" s="23" t="s">
        <v>535</v>
      </c>
      <c r="F46" s="23" t="s">
        <v>536</v>
      </c>
    </row>
    <row r="47" ht="22.5" customHeight="1">
      <c r="B47" s="23" t="s">
        <v>526</v>
      </c>
      <c r="C47" s="23" t="s">
        <v>537</v>
      </c>
      <c r="D47" s="23" t="s">
        <v>538</v>
      </c>
      <c r="E47" s="23" t="s">
        <v>539</v>
      </c>
      <c r="F47" s="23" t="s">
        <v>540</v>
      </c>
    </row>
    <row r="48" ht="22.5" customHeight="1">
      <c r="B48" s="23" t="s">
        <v>541</v>
      </c>
      <c r="C48" s="23" t="s">
        <v>542</v>
      </c>
      <c r="D48" s="23" t="s">
        <v>543</v>
      </c>
      <c r="E48" s="23" t="s">
        <v>544</v>
      </c>
      <c r="F48" s="23" t="s">
        <v>545</v>
      </c>
    </row>
    <row r="49" ht="22.5" customHeight="1">
      <c r="B49" s="23" t="s">
        <v>541</v>
      </c>
      <c r="C49" s="23" t="s">
        <v>546</v>
      </c>
      <c r="D49" s="23" t="s">
        <v>432</v>
      </c>
      <c r="E49" s="23" t="s">
        <v>547</v>
      </c>
      <c r="F49" s="23" t="s">
        <v>548</v>
      </c>
    </row>
    <row r="50" ht="22.5" customHeight="1">
      <c r="B50" s="23" t="s">
        <v>541</v>
      </c>
      <c r="C50" s="23" t="s">
        <v>549</v>
      </c>
      <c r="D50" s="23" t="s">
        <v>432</v>
      </c>
      <c r="E50" s="23" t="s">
        <v>550</v>
      </c>
      <c r="F50" s="23" t="s">
        <v>551</v>
      </c>
    </row>
    <row r="51" ht="22.5" customHeight="1">
      <c r="B51" s="23" t="s">
        <v>541</v>
      </c>
      <c r="C51" s="23" t="s">
        <v>552</v>
      </c>
      <c r="D51" s="23" t="s">
        <v>553</v>
      </c>
      <c r="E51" s="23" t="s">
        <v>554</v>
      </c>
      <c r="F51" s="23" t="s">
        <v>555</v>
      </c>
    </row>
  </sheetData>
  <printOptions/>
  <pageMargins bottom="0.787401575" footer="0.0" header="0.0" left="0.7" right="0.7" top="0.7874015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